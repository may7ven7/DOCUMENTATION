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ba\OneDrive\Desktop\2026 FILES\2026 FILES\QA DOCUMENTS\temperature mapping\"/>
    </mc:Choice>
  </mc:AlternateContent>
  <xr:revisionPtr revIDLastSave="0" documentId="8_{A1091CC1-B692-4E17-BE2F-06C103FC8A10}" xr6:coauthVersionLast="47" xr6:coauthVersionMax="47" xr10:uidLastSave="{00000000-0000-0000-0000-000000000000}"/>
  <bookViews>
    <workbookView xWindow="-108" yWindow="-108" windowWidth="23256" windowHeight="12456" xr2:uid="{7CA6B994-5C96-4D72-A73F-549B8448F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1" i="1" l="1"/>
  <c r="I361" i="1"/>
  <c r="J361" i="1"/>
  <c r="K361" i="1"/>
  <c r="L361" i="1"/>
  <c r="M361" i="1"/>
  <c r="N361" i="1"/>
  <c r="O361" i="1"/>
  <c r="P361" i="1"/>
  <c r="H362" i="1"/>
  <c r="I362" i="1"/>
  <c r="J362" i="1"/>
  <c r="K362" i="1"/>
  <c r="L362" i="1"/>
  <c r="M362" i="1"/>
  <c r="N362" i="1"/>
  <c r="O362" i="1"/>
  <c r="P362" i="1"/>
  <c r="G362" i="1"/>
  <c r="G361" i="1"/>
  <c r="R360" i="1"/>
  <c r="Q360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31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G323" i="1"/>
  <c r="G322" i="1"/>
  <c r="X320" i="1"/>
  <c r="W320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292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4" i="1" s="1"/>
  <c r="S241" i="1"/>
  <c r="S242" i="1"/>
  <c r="S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15" i="1"/>
  <c r="R244" i="1" s="1"/>
  <c r="H246" i="1"/>
  <c r="I246" i="1"/>
  <c r="J246" i="1"/>
  <c r="K246" i="1"/>
  <c r="L246" i="1"/>
  <c r="M246" i="1"/>
  <c r="N246" i="1"/>
  <c r="O246" i="1"/>
  <c r="P246" i="1"/>
  <c r="G246" i="1"/>
  <c r="H245" i="1"/>
  <c r="I245" i="1"/>
  <c r="J245" i="1"/>
  <c r="K245" i="1"/>
  <c r="L245" i="1"/>
  <c r="M245" i="1"/>
  <c r="N245" i="1"/>
  <c r="O245" i="1"/>
  <c r="P245" i="1"/>
  <c r="G245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F167" i="1"/>
  <c r="F16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W136" i="1"/>
  <c r="W164" i="1" s="1"/>
  <c r="V136" i="1"/>
  <c r="W124" i="1"/>
  <c r="V124" i="1"/>
  <c r="G86" i="1"/>
  <c r="G87" i="1" s="1"/>
  <c r="H86" i="1"/>
  <c r="H87" i="1" s="1"/>
  <c r="I86" i="1"/>
  <c r="I87" i="1" s="1"/>
  <c r="J86" i="1"/>
  <c r="J87" i="1" s="1"/>
  <c r="K86" i="1"/>
  <c r="K87" i="1" s="1"/>
  <c r="L86" i="1"/>
  <c r="L87" i="1" s="1"/>
  <c r="M86" i="1"/>
  <c r="M87" i="1" s="1"/>
  <c r="N86" i="1"/>
  <c r="N87" i="1" s="1"/>
  <c r="O86" i="1"/>
  <c r="O87" i="1" s="1"/>
  <c r="P86" i="1"/>
  <c r="P87" i="1" s="1"/>
  <c r="Q86" i="1"/>
  <c r="Q87" i="1" s="1"/>
  <c r="R86" i="1"/>
  <c r="R87" i="1" s="1"/>
  <c r="S86" i="1"/>
  <c r="S87" i="1" s="1"/>
  <c r="T86" i="1"/>
  <c r="T87" i="1" s="1"/>
  <c r="U86" i="1"/>
  <c r="U87" i="1" s="1"/>
  <c r="F86" i="1"/>
  <c r="F87" i="1" s="1"/>
  <c r="W85" i="1"/>
  <c r="V85" i="1"/>
  <c r="V164" i="1" l="1"/>
</calcChain>
</file>

<file path=xl/sharedStrings.xml><?xml version="1.0" encoding="utf-8"?>
<sst xmlns="http://schemas.openxmlformats.org/spreadsheetml/2006/main" count="607" uniqueCount="37">
  <si>
    <t>S/N</t>
  </si>
  <si>
    <t>DATE</t>
  </si>
  <si>
    <t>TIME</t>
  </si>
  <si>
    <t>DEPT</t>
  </si>
  <si>
    <t>READINGS</t>
  </si>
  <si>
    <t>MEAN</t>
  </si>
  <si>
    <t>T</t>
  </si>
  <si>
    <t>H</t>
  </si>
  <si>
    <t>AFGS</t>
  </si>
  <si>
    <t>APPROVED RAW MATERIAL STORE</t>
  </si>
  <si>
    <t>Mean</t>
  </si>
  <si>
    <t>MIN</t>
  </si>
  <si>
    <t>MAX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</si>
  <si>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</si>
  <si>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</si>
  <si>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</si>
  <si>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</si>
  <si>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</si>
  <si>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</si>
  <si>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</si>
  <si>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</si>
  <si>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</si>
  <si>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</si>
  <si>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</si>
  <si>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</si>
  <si>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</si>
  <si>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</si>
  <si>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</si>
  <si>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</si>
  <si>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QFGS</t>
  </si>
  <si>
    <t>Column17</t>
  </si>
  <si>
    <t>Column18</t>
  </si>
  <si>
    <t>Column19</t>
  </si>
  <si>
    <t>PMS</t>
  </si>
  <si>
    <t>ARM1</t>
  </si>
  <si>
    <t>ARM</t>
  </si>
  <si>
    <t>QRMS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</si>
</sst>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indexed="64"/>
      </right>
      <top style="medium">
        <color rgb="FFBFBFBF"/>
      </top>
      <bottom style="medium">
        <color rgb="FFBFBFB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BFBFBF"/>
      </left>
      <right/>
      <top style="medium">
        <color indexed="64"/>
      </top>
      <bottom style="medium">
        <color rgb="FFBFBFBF"/>
      </bottom>
      <diagonal/>
    </border>
    <border>
      <left/>
      <right style="medium">
        <color rgb="FFBFBFBF"/>
      </right>
      <top style="medium">
        <color indexed="64"/>
      </top>
      <bottom style="medium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 indent="6"/>
    </xf>
    <xf numFmtId="14" fontId="0" fillId="0" borderId="0" xfId="0" applyNumberFormat="1"/>
    <xf numFmtId="18" fontId="0" fillId="0" borderId="0" xfId="0" applyNumberFormat="1"/>
    <xf numFmtId="18" fontId="3" fillId="2" borderId="8" xfId="0" applyNumberFormat="1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18" fontId="1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vertical="center" wrapText="1"/>
    </xf>
    <xf numFmtId="14" fontId="3" fillId="2" borderId="3" xfId="0" applyNumberFormat="1" applyFont="1" applyFill="1" applyBorder="1" applyAlignment="1">
      <alignment vertical="center" wrapText="1"/>
    </xf>
    <xf numFmtId="14" fontId="3" fillId="2" borderId="4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8" fontId="5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Temperature ˚C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Sheet1!$Q$331:$Q$358</c:f>
              <c:numCache>
                <c:formatCode>General</c:formatCode>
                <c:ptCount val="28"/>
                <c:pt idx="0">
                  <c:v>22.2</c:v>
                </c:pt>
                <c:pt idx="1">
                  <c:v>23.8</c:v>
                </c:pt>
                <c:pt idx="2">
                  <c:v>25.8</c:v>
                </c:pt>
                <c:pt idx="3">
                  <c:v>27.2</c:v>
                </c:pt>
                <c:pt idx="4">
                  <c:v>22.2</c:v>
                </c:pt>
                <c:pt idx="5">
                  <c:v>24.2</c:v>
                </c:pt>
                <c:pt idx="6">
                  <c:v>26.8</c:v>
                </c:pt>
                <c:pt idx="7">
                  <c:v>28.2</c:v>
                </c:pt>
                <c:pt idx="8">
                  <c:v>21.8</c:v>
                </c:pt>
                <c:pt idx="9">
                  <c:v>24</c:v>
                </c:pt>
                <c:pt idx="10">
                  <c:v>26.4</c:v>
                </c:pt>
                <c:pt idx="11">
                  <c:v>27.8</c:v>
                </c:pt>
                <c:pt idx="12">
                  <c:v>22.8</c:v>
                </c:pt>
                <c:pt idx="13">
                  <c:v>24.8</c:v>
                </c:pt>
                <c:pt idx="14">
                  <c:v>26.2</c:v>
                </c:pt>
                <c:pt idx="15">
                  <c:v>27.8</c:v>
                </c:pt>
                <c:pt idx="16">
                  <c:v>22.2</c:v>
                </c:pt>
                <c:pt idx="17">
                  <c:v>24</c:v>
                </c:pt>
                <c:pt idx="18">
                  <c:v>26.2</c:v>
                </c:pt>
                <c:pt idx="19">
                  <c:v>27.8</c:v>
                </c:pt>
                <c:pt idx="20">
                  <c:v>22.2</c:v>
                </c:pt>
                <c:pt idx="21">
                  <c:v>24.2</c:v>
                </c:pt>
                <c:pt idx="22">
                  <c:v>26.6</c:v>
                </c:pt>
                <c:pt idx="23">
                  <c:v>27.8</c:v>
                </c:pt>
                <c:pt idx="24">
                  <c:v>22.2</c:v>
                </c:pt>
                <c:pt idx="25">
                  <c:v>24.2</c:v>
                </c:pt>
                <c:pt idx="26">
                  <c:v>26.2</c:v>
                </c:pt>
                <c:pt idx="27">
                  <c:v>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C-437B-AD4D-F4F2BCE53A6F}"/>
            </c:ext>
          </c:extLst>
        </c:ser>
        <c:ser>
          <c:idx val="1"/>
          <c:order val="1"/>
          <c:tx>
            <c:v>% Relative Humidity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Sheet1!$R$331:$R$358</c:f>
              <c:numCache>
                <c:formatCode>General</c:formatCode>
                <c:ptCount val="28"/>
                <c:pt idx="0">
                  <c:v>62.8</c:v>
                </c:pt>
                <c:pt idx="1">
                  <c:v>60.8</c:v>
                </c:pt>
                <c:pt idx="2">
                  <c:v>57.8</c:v>
                </c:pt>
                <c:pt idx="3">
                  <c:v>54.4</c:v>
                </c:pt>
                <c:pt idx="4">
                  <c:v>63.2</c:v>
                </c:pt>
                <c:pt idx="5">
                  <c:v>60.8</c:v>
                </c:pt>
                <c:pt idx="6">
                  <c:v>57.8</c:v>
                </c:pt>
                <c:pt idx="7">
                  <c:v>54.8</c:v>
                </c:pt>
                <c:pt idx="8">
                  <c:v>63.2</c:v>
                </c:pt>
                <c:pt idx="9">
                  <c:v>60.6</c:v>
                </c:pt>
                <c:pt idx="10">
                  <c:v>57.4</c:v>
                </c:pt>
                <c:pt idx="11">
                  <c:v>54.6</c:v>
                </c:pt>
                <c:pt idx="12">
                  <c:v>62.8</c:v>
                </c:pt>
                <c:pt idx="13">
                  <c:v>60.2</c:v>
                </c:pt>
                <c:pt idx="14">
                  <c:v>57.8</c:v>
                </c:pt>
                <c:pt idx="15">
                  <c:v>55</c:v>
                </c:pt>
                <c:pt idx="16">
                  <c:v>63.2</c:v>
                </c:pt>
                <c:pt idx="17">
                  <c:v>60.8</c:v>
                </c:pt>
                <c:pt idx="18">
                  <c:v>57.8</c:v>
                </c:pt>
                <c:pt idx="19">
                  <c:v>54.8</c:v>
                </c:pt>
                <c:pt idx="20">
                  <c:v>62.8</c:v>
                </c:pt>
                <c:pt idx="21">
                  <c:v>60.2</c:v>
                </c:pt>
                <c:pt idx="22">
                  <c:v>57.6</c:v>
                </c:pt>
                <c:pt idx="23">
                  <c:v>54.4</c:v>
                </c:pt>
                <c:pt idx="24">
                  <c:v>62.8</c:v>
                </c:pt>
                <c:pt idx="25">
                  <c:v>60.2</c:v>
                </c:pt>
                <c:pt idx="26">
                  <c:v>57.2</c:v>
                </c:pt>
                <c:pt idx="27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C-437B-AD4D-F4F2BCE53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702336"/>
        <c:axId val="651689376"/>
      </c:lineChart>
      <c:catAx>
        <c:axId val="651702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1689376"/>
        <c:crosses val="autoZero"/>
        <c:auto val="1"/>
        <c:lblAlgn val="ctr"/>
        <c:lblOffset val="100"/>
        <c:noMultiLvlLbl val="0"/>
      </c:catAx>
      <c:valAx>
        <c:axId val="65168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0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Temperature ˚C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Sheet1!$W$292:$W$319</c:f>
              <c:numCache>
                <c:formatCode>General</c:formatCode>
                <c:ptCount val="28"/>
                <c:pt idx="0">
                  <c:v>22.875</c:v>
                </c:pt>
                <c:pt idx="1">
                  <c:v>24.625</c:v>
                </c:pt>
                <c:pt idx="2">
                  <c:v>26.625</c:v>
                </c:pt>
                <c:pt idx="3">
                  <c:v>28.25</c:v>
                </c:pt>
                <c:pt idx="4">
                  <c:v>22.5</c:v>
                </c:pt>
                <c:pt idx="5">
                  <c:v>24.625</c:v>
                </c:pt>
                <c:pt idx="6">
                  <c:v>26.5</c:v>
                </c:pt>
                <c:pt idx="7">
                  <c:v>27.5</c:v>
                </c:pt>
                <c:pt idx="8">
                  <c:v>22.5</c:v>
                </c:pt>
                <c:pt idx="9">
                  <c:v>24.5</c:v>
                </c:pt>
                <c:pt idx="10">
                  <c:v>26.5</c:v>
                </c:pt>
                <c:pt idx="11">
                  <c:v>28.5</c:v>
                </c:pt>
                <c:pt idx="12">
                  <c:v>22.5</c:v>
                </c:pt>
                <c:pt idx="13">
                  <c:v>24.5</c:v>
                </c:pt>
                <c:pt idx="14">
                  <c:v>26.5</c:v>
                </c:pt>
                <c:pt idx="15">
                  <c:v>28.25</c:v>
                </c:pt>
                <c:pt idx="16">
                  <c:v>22.5</c:v>
                </c:pt>
                <c:pt idx="17">
                  <c:v>24.5</c:v>
                </c:pt>
                <c:pt idx="18">
                  <c:v>26.5</c:v>
                </c:pt>
                <c:pt idx="19">
                  <c:v>28.25</c:v>
                </c:pt>
                <c:pt idx="20">
                  <c:v>22.5</c:v>
                </c:pt>
                <c:pt idx="21">
                  <c:v>24.5</c:v>
                </c:pt>
                <c:pt idx="22">
                  <c:v>26.5</c:v>
                </c:pt>
                <c:pt idx="23">
                  <c:v>28.25</c:v>
                </c:pt>
                <c:pt idx="24">
                  <c:v>22.5</c:v>
                </c:pt>
                <c:pt idx="25">
                  <c:v>24.5</c:v>
                </c:pt>
                <c:pt idx="26">
                  <c:v>26.5</c:v>
                </c:pt>
                <c:pt idx="27">
                  <c:v>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C-4776-8707-0B7882D257A1}"/>
            </c:ext>
          </c:extLst>
        </c:ser>
        <c:ser>
          <c:idx val="1"/>
          <c:order val="1"/>
          <c:tx>
            <c:v>% Relative Humidity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Sheet1!$X$292:$X$319</c:f>
              <c:numCache>
                <c:formatCode>General</c:formatCode>
                <c:ptCount val="28"/>
                <c:pt idx="0">
                  <c:v>62.25</c:v>
                </c:pt>
                <c:pt idx="1">
                  <c:v>59.375</c:v>
                </c:pt>
                <c:pt idx="2">
                  <c:v>56.875</c:v>
                </c:pt>
                <c:pt idx="3">
                  <c:v>54.125</c:v>
                </c:pt>
                <c:pt idx="4">
                  <c:v>63</c:v>
                </c:pt>
                <c:pt idx="5">
                  <c:v>59.75</c:v>
                </c:pt>
                <c:pt idx="6">
                  <c:v>56.875</c:v>
                </c:pt>
                <c:pt idx="7">
                  <c:v>54</c:v>
                </c:pt>
                <c:pt idx="8">
                  <c:v>63.25</c:v>
                </c:pt>
                <c:pt idx="9">
                  <c:v>60.25</c:v>
                </c:pt>
                <c:pt idx="10">
                  <c:v>57.25</c:v>
                </c:pt>
                <c:pt idx="11">
                  <c:v>54.5</c:v>
                </c:pt>
                <c:pt idx="12">
                  <c:v>63.25</c:v>
                </c:pt>
                <c:pt idx="13">
                  <c:v>60.25</c:v>
                </c:pt>
                <c:pt idx="14">
                  <c:v>57.5</c:v>
                </c:pt>
                <c:pt idx="15">
                  <c:v>54.5</c:v>
                </c:pt>
                <c:pt idx="16">
                  <c:v>63.375</c:v>
                </c:pt>
                <c:pt idx="17">
                  <c:v>60.375</c:v>
                </c:pt>
                <c:pt idx="18">
                  <c:v>57.5</c:v>
                </c:pt>
                <c:pt idx="19">
                  <c:v>54.5</c:v>
                </c:pt>
                <c:pt idx="20">
                  <c:v>63.25</c:v>
                </c:pt>
                <c:pt idx="21">
                  <c:v>60.375</c:v>
                </c:pt>
                <c:pt idx="22">
                  <c:v>57.5</c:v>
                </c:pt>
                <c:pt idx="23">
                  <c:v>54.5</c:v>
                </c:pt>
                <c:pt idx="24">
                  <c:v>63.25</c:v>
                </c:pt>
                <c:pt idx="25">
                  <c:v>60.75</c:v>
                </c:pt>
                <c:pt idx="26">
                  <c:v>57.5</c:v>
                </c:pt>
                <c:pt idx="27">
                  <c:v>54.5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C-4776-8707-0B7882D25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808688"/>
        <c:axId val="337798608"/>
      </c:lineChart>
      <c:catAx>
        <c:axId val="33780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98608"/>
        <c:crosses val="autoZero"/>
        <c:auto val="1"/>
        <c:lblAlgn val="ctr"/>
        <c:lblOffset val="100"/>
        <c:noMultiLvlLbl val="0"/>
      </c:catAx>
      <c:valAx>
        <c:axId val="3377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0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Temperature ˚C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Sheet1!$X$255:$X$282</c:f>
              <c:numCache>
                <c:formatCode>General</c:formatCode>
                <c:ptCount val="28"/>
                <c:pt idx="0">
                  <c:v>22.2</c:v>
                </c:pt>
                <c:pt idx="1">
                  <c:v>24</c:v>
                </c:pt>
                <c:pt idx="2">
                  <c:v>26.8</c:v>
                </c:pt>
                <c:pt idx="3">
                  <c:v>28</c:v>
                </c:pt>
                <c:pt idx="4">
                  <c:v>22</c:v>
                </c:pt>
                <c:pt idx="5">
                  <c:v>24</c:v>
                </c:pt>
                <c:pt idx="6">
                  <c:v>26.4</c:v>
                </c:pt>
                <c:pt idx="7">
                  <c:v>27.4</c:v>
                </c:pt>
                <c:pt idx="8">
                  <c:v>22.8</c:v>
                </c:pt>
                <c:pt idx="9">
                  <c:v>24.8</c:v>
                </c:pt>
                <c:pt idx="10">
                  <c:v>27</c:v>
                </c:pt>
                <c:pt idx="11">
                  <c:v>28.8</c:v>
                </c:pt>
                <c:pt idx="12">
                  <c:v>22.2</c:v>
                </c:pt>
                <c:pt idx="13">
                  <c:v>24.4</c:v>
                </c:pt>
                <c:pt idx="14">
                  <c:v>26</c:v>
                </c:pt>
                <c:pt idx="15">
                  <c:v>28</c:v>
                </c:pt>
                <c:pt idx="16">
                  <c:v>22.2</c:v>
                </c:pt>
                <c:pt idx="17">
                  <c:v>24.2</c:v>
                </c:pt>
                <c:pt idx="18">
                  <c:v>26.6</c:v>
                </c:pt>
                <c:pt idx="19">
                  <c:v>27.8</c:v>
                </c:pt>
                <c:pt idx="20">
                  <c:v>22.4</c:v>
                </c:pt>
                <c:pt idx="21">
                  <c:v>24.6</c:v>
                </c:pt>
                <c:pt idx="22">
                  <c:v>26.6</c:v>
                </c:pt>
                <c:pt idx="23">
                  <c:v>27.8</c:v>
                </c:pt>
                <c:pt idx="24">
                  <c:v>22</c:v>
                </c:pt>
                <c:pt idx="25">
                  <c:v>24.8</c:v>
                </c:pt>
                <c:pt idx="26">
                  <c:v>26.8</c:v>
                </c:pt>
                <c:pt idx="27">
                  <c:v>28.2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7-45C0-A802-3215B39E5DBB}"/>
            </c:ext>
          </c:extLst>
        </c:ser>
        <c:ser>
          <c:idx val="1"/>
          <c:order val="1"/>
          <c:tx>
            <c:v>% Relative Humidity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Sheet1!$Y$255:$Y$282</c:f>
              <c:numCache>
                <c:formatCode>General</c:formatCode>
                <c:ptCount val="28"/>
                <c:pt idx="0">
                  <c:v>63</c:v>
                </c:pt>
                <c:pt idx="1">
                  <c:v>60.8</c:v>
                </c:pt>
                <c:pt idx="2">
                  <c:v>58</c:v>
                </c:pt>
                <c:pt idx="3">
                  <c:v>54.4</c:v>
                </c:pt>
                <c:pt idx="4">
                  <c:v>63.2</c:v>
                </c:pt>
                <c:pt idx="5">
                  <c:v>60.6</c:v>
                </c:pt>
                <c:pt idx="6">
                  <c:v>57.4</c:v>
                </c:pt>
                <c:pt idx="7">
                  <c:v>54.2</c:v>
                </c:pt>
                <c:pt idx="8">
                  <c:v>62.8</c:v>
                </c:pt>
                <c:pt idx="9">
                  <c:v>60.2</c:v>
                </c:pt>
                <c:pt idx="10">
                  <c:v>57</c:v>
                </c:pt>
                <c:pt idx="11">
                  <c:v>53.8</c:v>
                </c:pt>
                <c:pt idx="12">
                  <c:v>63</c:v>
                </c:pt>
                <c:pt idx="13">
                  <c:v>60.6</c:v>
                </c:pt>
                <c:pt idx="14">
                  <c:v>58</c:v>
                </c:pt>
                <c:pt idx="15">
                  <c:v>55</c:v>
                </c:pt>
                <c:pt idx="16">
                  <c:v>63</c:v>
                </c:pt>
                <c:pt idx="17">
                  <c:v>60.6</c:v>
                </c:pt>
                <c:pt idx="18">
                  <c:v>57.6</c:v>
                </c:pt>
                <c:pt idx="19">
                  <c:v>54.6</c:v>
                </c:pt>
                <c:pt idx="20">
                  <c:v>62.6</c:v>
                </c:pt>
                <c:pt idx="21">
                  <c:v>60.2</c:v>
                </c:pt>
                <c:pt idx="22">
                  <c:v>57.8</c:v>
                </c:pt>
                <c:pt idx="23">
                  <c:v>55</c:v>
                </c:pt>
                <c:pt idx="24">
                  <c:v>63.4</c:v>
                </c:pt>
                <c:pt idx="25">
                  <c:v>61.2</c:v>
                </c:pt>
                <c:pt idx="26">
                  <c:v>58.4</c:v>
                </c:pt>
                <c:pt idx="27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7-45C0-A802-3215B39E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531648"/>
        <c:axId val="1577526368"/>
      </c:lineChart>
      <c:catAx>
        <c:axId val="157753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26368"/>
        <c:crosses val="autoZero"/>
        <c:auto val="1"/>
        <c:lblAlgn val="ctr"/>
        <c:lblOffset val="100"/>
        <c:noMultiLvlLbl val="0"/>
      </c:catAx>
      <c:valAx>
        <c:axId val="157752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3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Temperature ˚C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Sheet1!$R$215:$R$242</c:f>
              <c:numCache>
                <c:formatCode>General</c:formatCode>
                <c:ptCount val="28"/>
                <c:pt idx="0">
                  <c:v>22.6</c:v>
                </c:pt>
                <c:pt idx="1">
                  <c:v>24.4</c:v>
                </c:pt>
                <c:pt idx="2">
                  <c:v>26.6</c:v>
                </c:pt>
                <c:pt idx="3">
                  <c:v>28.6</c:v>
                </c:pt>
                <c:pt idx="4">
                  <c:v>22.6</c:v>
                </c:pt>
                <c:pt idx="5">
                  <c:v>25.2</c:v>
                </c:pt>
                <c:pt idx="6">
                  <c:v>26.4</c:v>
                </c:pt>
                <c:pt idx="7">
                  <c:v>28.4</c:v>
                </c:pt>
                <c:pt idx="8">
                  <c:v>22.4</c:v>
                </c:pt>
                <c:pt idx="9">
                  <c:v>24.4</c:v>
                </c:pt>
                <c:pt idx="10">
                  <c:v>26.6</c:v>
                </c:pt>
                <c:pt idx="11">
                  <c:v>28.4</c:v>
                </c:pt>
                <c:pt idx="12">
                  <c:v>22.8</c:v>
                </c:pt>
                <c:pt idx="13">
                  <c:v>24.6</c:v>
                </c:pt>
                <c:pt idx="14">
                  <c:v>26.6</c:v>
                </c:pt>
                <c:pt idx="15">
                  <c:v>28.4</c:v>
                </c:pt>
                <c:pt idx="16">
                  <c:v>22.6</c:v>
                </c:pt>
                <c:pt idx="17">
                  <c:v>24.4</c:v>
                </c:pt>
                <c:pt idx="18">
                  <c:v>26.6</c:v>
                </c:pt>
                <c:pt idx="19">
                  <c:v>28.4</c:v>
                </c:pt>
                <c:pt idx="20">
                  <c:v>22.4</c:v>
                </c:pt>
                <c:pt idx="21">
                  <c:v>24.4</c:v>
                </c:pt>
                <c:pt idx="22">
                  <c:v>26.6</c:v>
                </c:pt>
                <c:pt idx="23">
                  <c:v>28.4</c:v>
                </c:pt>
                <c:pt idx="24">
                  <c:v>22.6</c:v>
                </c:pt>
                <c:pt idx="25">
                  <c:v>24.4</c:v>
                </c:pt>
                <c:pt idx="26">
                  <c:v>26.6</c:v>
                </c:pt>
                <c:pt idx="27">
                  <c:v>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4-4D21-979F-96539A3A0974}"/>
            </c:ext>
          </c:extLst>
        </c:ser>
        <c:ser>
          <c:idx val="1"/>
          <c:order val="1"/>
          <c:tx>
            <c:v>% Relative Humidity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Sheet1!$S$215:$S$242</c:f>
              <c:numCache>
                <c:formatCode>General</c:formatCode>
                <c:ptCount val="28"/>
                <c:pt idx="0">
                  <c:v>62.8</c:v>
                </c:pt>
                <c:pt idx="1">
                  <c:v>60</c:v>
                </c:pt>
                <c:pt idx="2">
                  <c:v>57.2</c:v>
                </c:pt>
                <c:pt idx="3">
                  <c:v>54.4</c:v>
                </c:pt>
                <c:pt idx="4">
                  <c:v>63.4</c:v>
                </c:pt>
                <c:pt idx="5">
                  <c:v>60.4</c:v>
                </c:pt>
                <c:pt idx="6">
                  <c:v>57.6</c:v>
                </c:pt>
                <c:pt idx="7">
                  <c:v>54.4</c:v>
                </c:pt>
                <c:pt idx="8">
                  <c:v>63.4</c:v>
                </c:pt>
                <c:pt idx="9">
                  <c:v>61</c:v>
                </c:pt>
                <c:pt idx="10">
                  <c:v>57.4</c:v>
                </c:pt>
                <c:pt idx="11">
                  <c:v>54.8</c:v>
                </c:pt>
                <c:pt idx="12">
                  <c:v>63.4</c:v>
                </c:pt>
                <c:pt idx="13">
                  <c:v>60.4</c:v>
                </c:pt>
                <c:pt idx="14">
                  <c:v>57.4</c:v>
                </c:pt>
                <c:pt idx="15">
                  <c:v>54.6</c:v>
                </c:pt>
                <c:pt idx="16">
                  <c:v>63.4</c:v>
                </c:pt>
                <c:pt idx="17">
                  <c:v>60.4</c:v>
                </c:pt>
                <c:pt idx="18">
                  <c:v>57.6</c:v>
                </c:pt>
                <c:pt idx="19">
                  <c:v>54.4</c:v>
                </c:pt>
                <c:pt idx="20">
                  <c:v>63.4</c:v>
                </c:pt>
                <c:pt idx="21">
                  <c:v>60.4</c:v>
                </c:pt>
                <c:pt idx="22">
                  <c:v>57.6</c:v>
                </c:pt>
                <c:pt idx="23">
                  <c:v>54.6</c:v>
                </c:pt>
                <c:pt idx="24">
                  <c:v>63.4</c:v>
                </c:pt>
                <c:pt idx="25">
                  <c:v>60.4</c:v>
                </c:pt>
                <c:pt idx="26">
                  <c:v>57.6</c:v>
                </c:pt>
                <c:pt idx="27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4-4D21-979F-96539A3A0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496608"/>
        <c:axId val="1577495648"/>
      </c:lineChart>
      <c:catAx>
        <c:axId val="157749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95648"/>
        <c:crosses val="autoZero"/>
        <c:auto val="1"/>
        <c:lblAlgn val="ctr"/>
        <c:lblOffset val="100"/>
        <c:noMultiLvlLbl val="0"/>
      </c:catAx>
      <c:valAx>
        <c:axId val="15774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9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Temperature ˚C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Sheet1!$R$178:$R$205</c:f>
              <c:numCache>
                <c:formatCode>General</c:formatCode>
                <c:ptCount val="28"/>
                <c:pt idx="0">
                  <c:v>22.4</c:v>
                </c:pt>
                <c:pt idx="1">
                  <c:v>24.4</c:v>
                </c:pt>
                <c:pt idx="2">
                  <c:v>26.6</c:v>
                </c:pt>
                <c:pt idx="3">
                  <c:v>28.4</c:v>
                </c:pt>
                <c:pt idx="4">
                  <c:v>21.8</c:v>
                </c:pt>
                <c:pt idx="5">
                  <c:v>24.4</c:v>
                </c:pt>
                <c:pt idx="6">
                  <c:v>26.4</c:v>
                </c:pt>
                <c:pt idx="7">
                  <c:v>27.8</c:v>
                </c:pt>
                <c:pt idx="8">
                  <c:v>22.4</c:v>
                </c:pt>
                <c:pt idx="9">
                  <c:v>24.4</c:v>
                </c:pt>
                <c:pt idx="10">
                  <c:v>26.6</c:v>
                </c:pt>
                <c:pt idx="11">
                  <c:v>28.2</c:v>
                </c:pt>
                <c:pt idx="12">
                  <c:v>22.6</c:v>
                </c:pt>
                <c:pt idx="13">
                  <c:v>24.4</c:v>
                </c:pt>
                <c:pt idx="14">
                  <c:v>26.6</c:v>
                </c:pt>
                <c:pt idx="15">
                  <c:v>28.4</c:v>
                </c:pt>
                <c:pt idx="16">
                  <c:v>22.6</c:v>
                </c:pt>
                <c:pt idx="17">
                  <c:v>24.4</c:v>
                </c:pt>
                <c:pt idx="18">
                  <c:v>26.6</c:v>
                </c:pt>
                <c:pt idx="19">
                  <c:v>28</c:v>
                </c:pt>
                <c:pt idx="20">
                  <c:v>22.4</c:v>
                </c:pt>
                <c:pt idx="21">
                  <c:v>24.4</c:v>
                </c:pt>
                <c:pt idx="22">
                  <c:v>26.4</c:v>
                </c:pt>
                <c:pt idx="23">
                  <c:v>28</c:v>
                </c:pt>
                <c:pt idx="24">
                  <c:v>23</c:v>
                </c:pt>
                <c:pt idx="25">
                  <c:v>24.8</c:v>
                </c:pt>
                <c:pt idx="26">
                  <c:v>26.8</c:v>
                </c:pt>
                <c:pt idx="27">
                  <c:v>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C-4F59-94A8-428A7829FC14}"/>
            </c:ext>
          </c:extLst>
        </c:ser>
        <c:ser>
          <c:idx val="1"/>
          <c:order val="1"/>
          <c:tx>
            <c:v>% Relative Humidity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Sheet1!$S$178:$S$205</c:f>
              <c:numCache>
                <c:formatCode>General</c:formatCode>
                <c:ptCount val="28"/>
                <c:pt idx="0">
                  <c:v>63</c:v>
                </c:pt>
                <c:pt idx="1">
                  <c:v>60.8</c:v>
                </c:pt>
                <c:pt idx="2">
                  <c:v>57.8</c:v>
                </c:pt>
                <c:pt idx="3">
                  <c:v>54.6</c:v>
                </c:pt>
                <c:pt idx="4">
                  <c:v>63.4</c:v>
                </c:pt>
                <c:pt idx="5">
                  <c:v>61.2</c:v>
                </c:pt>
                <c:pt idx="6">
                  <c:v>58.2</c:v>
                </c:pt>
                <c:pt idx="7">
                  <c:v>54.8</c:v>
                </c:pt>
                <c:pt idx="8">
                  <c:v>63.4</c:v>
                </c:pt>
                <c:pt idx="9">
                  <c:v>60.8</c:v>
                </c:pt>
                <c:pt idx="10">
                  <c:v>57.8</c:v>
                </c:pt>
                <c:pt idx="11">
                  <c:v>54.8</c:v>
                </c:pt>
                <c:pt idx="12">
                  <c:v>63</c:v>
                </c:pt>
                <c:pt idx="13">
                  <c:v>60.4</c:v>
                </c:pt>
                <c:pt idx="14">
                  <c:v>57.4</c:v>
                </c:pt>
                <c:pt idx="15">
                  <c:v>54.4</c:v>
                </c:pt>
                <c:pt idx="16">
                  <c:v>62.8</c:v>
                </c:pt>
                <c:pt idx="17">
                  <c:v>60.2</c:v>
                </c:pt>
                <c:pt idx="18">
                  <c:v>57.2</c:v>
                </c:pt>
                <c:pt idx="19">
                  <c:v>53.8</c:v>
                </c:pt>
                <c:pt idx="20">
                  <c:v>63</c:v>
                </c:pt>
                <c:pt idx="21">
                  <c:v>60.8</c:v>
                </c:pt>
                <c:pt idx="22">
                  <c:v>58</c:v>
                </c:pt>
                <c:pt idx="23">
                  <c:v>55</c:v>
                </c:pt>
                <c:pt idx="24">
                  <c:v>63</c:v>
                </c:pt>
                <c:pt idx="25">
                  <c:v>60.8</c:v>
                </c:pt>
                <c:pt idx="26">
                  <c:v>57.6</c:v>
                </c:pt>
                <c:pt idx="27">
                  <c:v>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2C-4F59-94A8-428A7829F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526848"/>
        <c:axId val="1577527808"/>
      </c:lineChart>
      <c:catAx>
        <c:axId val="1577526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7527808"/>
        <c:crosses val="autoZero"/>
        <c:auto val="1"/>
        <c:lblAlgn val="ctr"/>
        <c:lblOffset val="100"/>
        <c:noMultiLvlLbl val="0"/>
      </c:catAx>
      <c:valAx>
        <c:axId val="157752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369794</xdr:colOff>
      <xdr:row>327</xdr:row>
      <xdr:rowOff>101974</xdr:rowOff>
    </xdr:from>
    <xdr:to>
      <xdr:col>22</xdr:col>
      <xdr:colOff>795618</xdr:colOff>
      <xdr:row>342</xdr:row>
      <xdr:rowOff>155762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BB6F0-54EA-50E0-ED77-F7F13B4C2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67235</xdr:colOff>
      <xdr:row>302</xdr:row>
      <xdr:rowOff>146798</xdr:rowOff>
    </xdr:from>
    <xdr:to>
      <xdr:col>16</xdr:col>
      <xdr:colOff>717176</xdr:colOff>
      <xdr:row>318</xdr:row>
      <xdr:rowOff>21292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BDED9B-041C-A8F2-9E44-B62DF2933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67235</xdr:colOff>
      <xdr:row>261</xdr:row>
      <xdr:rowOff>135592</xdr:rowOff>
    </xdr:from>
    <xdr:to>
      <xdr:col>16</xdr:col>
      <xdr:colOff>717176</xdr:colOff>
      <xdr:row>276</xdr:row>
      <xdr:rowOff>21292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2EDBF8-08A0-8772-6EA9-F38524CB4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67235</xdr:colOff>
      <xdr:row>213</xdr:row>
      <xdr:rowOff>146797</xdr:rowOff>
    </xdr:from>
    <xdr:to>
      <xdr:col>16</xdr:col>
      <xdr:colOff>717176</xdr:colOff>
      <xdr:row>229</xdr:row>
      <xdr:rowOff>21291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4D2CF9-2474-FFA6-4D36-BFCE4A6A9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67235</xdr:colOff>
      <xdr:row>182</xdr:row>
      <xdr:rowOff>23532</xdr:rowOff>
    </xdr:from>
    <xdr:to>
      <xdr:col>16</xdr:col>
      <xdr:colOff>717176</xdr:colOff>
      <xdr:row>196</xdr:row>
      <xdr:rowOff>99732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306E38-6035-6FFD-2AC1-D52FB7510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9BA7F-655C-4AB0-B0E1-0C6EE95E464E}" name="Table1" displayName="Table1" ref="B54:W87" totalsRowShown="0">
  <autoFilter ref="B54:W87" xr:uid="{E459BA7F-655C-4AB0-B0E1-0C6EE95E464E}"/>
  <tableColumns count="22">
    <tableColumn id="1" xr3:uid="{D62D5E9C-5B14-4010-BA27-9EFE00776344}" name="S/N" dataDxfId="16"/>
    <tableColumn id="2" xr3:uid="{C0DE5FF3-E683-4630-93F2-71928C7E9B3A}" name="DATE" dataDxfId="15"/>
    <tableColumn id="3" xr3:uid="{821D8F0D-7FF1-44F9-A7C5-DA8AFBF11EDC}" name="TIME" dataDxfId="14"/>
    <tableColumn id="4" xr3:uid="{0CED7E2C-D4F4-42C8-831F-4920B6302D37}" name="DEPT" dataDxfId="13"/>
    <tableColumn id="5" xr3:uid="{2FC06752-61A6-46D8-8427-78A63A701EE1}" name="READINGS" dataDxfId="12"/>
    <tableColumn id="6" xr3:uid="{6EA32EDC-E7E3-480D-AC90-244AED48747C}" name="MEAN" dataDxfId="11"/>
    <tableColumn id="7" xr3:uid="{1BD10476-3B9F-4F97-8E03-D9F365DF762E}" name="Column1" dataDxfId="10"/>
    <tableColumn id="8" xr3:uid="{CC07AC7B-F8BB-492C-A32D-7250735CB869}" name="Column2" dataDxfId="9"/>
    <tableColumn id="9" xr3:uid="{A9307266-DEBE-42F5-9F62-9EC26851CB0D}" name="Column3" dataDxfId="8"/>
    <tableColumn id="10" xr3:uid="{8F033F89-B7E8-4742-922D-7C41225F8181}" name="Column4" dataDxfId="7"/>
    <tableColumn id="11" xr3:uid="{F66BC9DA-9423-424B-A47B-F9FBE8100FF1}" name="Column5" dataDxfId="6"/>
    <tableColumn id="12" xr3:uid="{368807EF-5C8F-4CFB-B7EA-BFBBC32990AC}" name="Column6" dataDxfId="5"/>
    <tableColumn id="13" xr3:uid="{2562D21D-3C70-4916-9BD5-F054A8B98148}" name="Column7" dataDxfId="4"/>
    <tableColumn id="14" xr3:uid="{05AC6CFD-6CEF-4F72-9673-99B3E645CB9B}" name="Column8" dataDxfId="3"/>
    <tableColumn id="15" xr3:uid="{39074A80-5704-48BC-AD49-1E2D090F7A6B}" name="Column9" dataDxfId="2"/>
    <tableColumn id="16" xr3:uid="{67FAD873-85C0-4ABC-8983-A4E14EB945EE}" name="Column10" dataDxfId="1"/>
    <tableColumn id="17" xr3:uid="{D1C916D4-7822-4B69-9F83-71971825A732}" name="Column11" dataDxfId="0"/>
    <tableColumn id="18" xr3:uid="{C630B51E-C435-432C-BE6E-C2453B3BB856}" name="Column12"/>
    <tableColumn id="19" xr3:uid="{824143B2-994C-48CA-A4E9-82EEFE12ED1D}" name="Column13"/>
    <tableColumn id="20" xr3:uid="{657E20ED-ABB6-4AAA-8D86-D5B9D65ED2D2}" name="Column14"/>
    <tableColumn id="21" xr3:uid="{EFA92D34-F949-4030-9245-AE58071E4CA3}" name="Column15"/>
    <tableColumn id="22" xr3:uid="{E82AAE86-462C-4E6D-97B4-3AC8D877D163}" name="Column1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E3D1E-B38B-4091-8722-98229F42C926}" name="Table2" displayName="Table2" ref="B91:W126" totalsRowShown="0">
  <autoFilter ref="B91:W126" xr:uid="{11BE3D1E-B38B-4091-8722-98229F42C926}"/>
  <tableColumns count="22">
    <tableColumn id="1" xr3:uid="{39138B64-0534-4197-99E1-82A536E5A9C4}" name="S/N"/>
    <tableColumn id="2" xr3:uid="{DAB2BCF1-DD64-4C1F-8757-052D2879F064}" name="DATE"/>
    <tableColumn id="3" xr3:uid="{CCD027D5-3A61-4C17-9DDC-C85AEC20C3F2}" name="TIME"/>
    <tableColumn id="4" xr3:uid="{A0B5FE3D-068D-4146-9F39-93CCECCE4AC0}" name="Column1"/>
    <tableColumn id="5" xr3:uid="{F1FF9A19-184C-4825-8446-AC46B75471C6}" name="Column2"/>
    <tableColumn id="6" xr3:uid="{2F3D632D-4721-434C-88D1-98D099D6A76E}" name="Column3"/>
    <tableColumn id="7" xr3:uid="{876416D4-B9B1-4873-9EA0-74CF06618878}" name="Column4"/>
    <tableColumn id="8" xr3:uid="{D74F35F0-B537-4FB9-9829-70BC2DB5576D}" name="Column5"/>
    <tableColumn id="9" xr3:uid="{EA6262E9-6DFF-49E3-825F-DB9921ABBBF1}" name="Column6"/>
    <tableColumn id="10" xr3:uid="{066F5A00-CEE1-4FD0-89FB-95A962033583}" name="Column7"/>
    <tableColumn id="11" xr3:uid="{BDF08682-E5C7-40D3-8B2E-A2B5B0C5F32E}" name="Column8"/>
    <tableColumn id="12" xr3:uid="{8B4AB600-EDE3-4BDD-8506-7485C23A7414}" name="Column9"/>
    <tableColumn id="13" xr3:uid="{F756ECA0-E097-4864-ABB1-6EE89B31AC64}" name="Column10"/>
    <tableColumn id="14" xr3:uid="{5DA262CC-4014-4005-A1A1-DDEEF9E459C5}" name="Column11"/>
    <tableColumn id="15" xr3:uid="{D6A0CF8F-1A52-46AD-9692-DD22A1FBD3A2}" name="Column12"/>
    <tableColumn id="16" xr3:uid="{B6FF3F25-7DF5-404F-80FB-14D1CE1C1C63}" name="Column13"/>
    <tableColumn id="17" xr3:uid="{5BD185CD-7178-4BA4-BF0E-23F0C4AB316E}" name="Column14"/>
    <tableColumn id="18" xr3:uid="{73DB36FB-87CD-468C-89FE-3B466AC50CEB}" name="Column15"/>
    <tableColumn id="19" xr3:uid="{3F5C7977-98A1-4445-8FCD-16B42C9C5EB8}" name="Column16"/>
    <tableColumn id="20" xr3:uid="{DD7A36C8-05E6-46E6-BAA9-779A3FEE6D2E}" name="Column17"/>
    <tableColumn id="21" xr3:uid="{81AA8919-4576-47C7-ADD2-F549DBA67049}" name="Column18"/>
    <tableColumn id="22" xr3:uid="{5B5074B8-C149-43B8-89FF-B4F5B6AAE6BE}" name="Column1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07EC44-7436-45EF-B4B5-1367FA375FE1}" name="Table3" displayName="Table3" ref="B132:W167" totalsRowShown="0">
  <autoFilter ref="B132:W167" xr:uid="{C607EC44-7436-45EF-B4B5-1367FA375FE1}"/>
  <tableColumns count="22">
    <tableColumn id="1" xr3:uid="{A452CFDF-5DDC-444E-9C97-C26B08273CCC}" name="S/N"/>
    <tableColumn id="2" xr3:uid="{4D862D6A-3005-49EF-AE07-8E78BC47104D}" name="DATE"/>
    <tableColumn id="3" xr3:uid="{6FBFAAAC-B057-4368-A162-1E816035AAA1}" name="TIME"/>
    <tableColumn id="4" xr3:uid="{29ECBACE-DF6A-4FC2-A90A-A0C7F61F0887}" name="Column1"/>
    <tableColumn id="5" xr3:uid="{FE7B7CBA-A2A8-4441-BAA4-A0EA78D179D7}" name="Column2"/>
    <tableColumn id="6" xr3:uid="{90A30A07-CC6C-49AE-A51B-496A22C69C11}" name="Column3"/>
    <tableColumn id="7" xr3:uid="{2D48D336-623C-4574-9968-62BC960068C4}" name="Column4"/>
    <tableColumn id="8" xr3:uid="{2293F117-4302-4282-AACF-C71DAC0FE83C}" name="Column5"/>
    <tableColumn id="9" xr3:uid="{0EDEC93B-90E1-44E2-8354-3AD587495DA2}" name="Column6"/>
    <tableColumn id="10" xr3:uid="{F1EDE542-4236-41FA-B8DC-92E0A6CAA1F6}" name="Column7"/>
    <tableColumn id="11" xr3:uid="{21CBD87E-D802-4A21-ADA2-967C9B201B18}" name="Column8"/>
    <tableColumn id="12" xr3:uid="{2B6937D1-B04D-42C3-A4AB-B49DEA02085D}" name="Column9"/>
    <tableColumn id="13" xr3:uid="{45009368-9B51-4B71-81FC-A1C2D8A16337}" name="Column10"/>
    <tableColumn id="14" xr3:uid="{CFB1C032-EF30-48A1-B255-4DBCBEA12A9F}" name="Column11"/>
    <tableColumn id="15" xr3:uid="{3CBE8053-B19F-4034-8FB9-4D76472E6B33}" name="Column12"/>
    <tableColumn id="16" xr3:uid="{01B20782-50D6-4616-9A77-7245FC810023}" name="Column13"/>
    <tableColumn id="17" xr3:uid="{D3F30E6B-B98A-4305-8B90-D9F4EB57BB49}" name="Column14"/>
    <tableColumn id="18" xr3:uid="{DA4E9E1B-8E41-461B-85CA-9941C5208448}" name="Column15"/>
    <tableColumn id="19" xr3:uid="{3B212F26-D9A0-416A-9C5F-CC5A1475188B}" name="Column16"/>
    <tableColumn id="20" xr3:uid="{F762DA6F-3654-4638-880A-5D2A7638F681}" name="Column17"/>
    <tableColumn id="21" xr3:uid="{F1C7F344-C13C-4667-AA9D-11D199DCAA61}" name="Column18"/>
    <tableColumn id="22" xr3:uid="{F0696944-995E-40CC-8EF3-086329021C71}" name="Column19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477887-C9E8-4ABA-8184-913ADA8548A1}" name="Table6" displayName="Table6" ref="C212:S246" totalsRowShown="0">
  <autoFilter ref="C212:S246" xr:uid="{FA477887-C9E8-4ABA-8184-913ADA8548A1}"/>
  <tableColumns count="17">
    <tableColumn id="1" xr3:uid="{E98BEF90-91B0-45FE-8E57-226ABB420F4A}" name="S/N"/>
    <tableColumn id="2" xr3:uid="{DE20F622-C33C-4791-B620-ECB7412E2607}" name="DATE"/>
    <tableColumn id="3" xr3:uid="{9076F834-5C83-4FD7-BDB6-F0C2F82FD03B}" name="TIME"/>
    <tableColumn id="4" xr3:uid="{F3078315-7EB0-4C72-A4C2-DDD210E0EF2F}" name="Column1"/>
    <tableColumn id="5" xr3:uid="{631671C4-02A8-460D-91C6-A78AAEB445E0}" name="Column2"/>
    <tableColumn id="6" xr3:uid="{0A4954CD-F696-408F-868D-70F876175D5F}" name="Column3"/>
    <tableColumn id="7" xr3:uid="{EEF51CB2-ACCA-472C-A403-E28626043379}" name="Column4"/>
    <tableColumn id="8" xr3:uid="{D1D8BAB2-64CB-448D-B485-BA5B71292037}" name="Column5"/>
    <tableColumn id="9" xr3:uid="{A3BB91D5-33A5-4601-952E-D6A4826687C6}" name="Column6"/>
    <tableColumn id="10" xr3:uid="{70322075-6B2B-422D-B501-C17F8FD21947}" name="Column7"/>
    <tableColumn id="11" xr3:uid="{7B951ED5-E3FF-460F-985B-2F4B52B4B413}" name="Column8"/>
    <tableColumn id="12" xr3:uid="{2D30A9B5-DE3F-4F81-A83C-811D2A0E54FA}" name="Column9"/>
    <tableColumn id="13" xr3:uid="{8C8B5593-CE66-4F1C-9AD1-BD88713E6FF8}" name="Column10"/>
    <tableColumn id="14" xr3:uid="{FEBB1985-F2A4-4E31-9B7E-F1ED35C2F127}" name="Column11"/>
    <tableColumn id="15" xr3:uid="{EF20DEB5-6817-4E53-96D6-62364095755A}" name="Column12"/>
    <tableColumn id="16" xr3:uid="{B7AEC23F-97F8-40F3-820A-10D552EDF1A9}" name="Column13"/>
    <tableColumn id="17" xr3:uid="{8AEBDD05-D958-4B85-AA76-D49275A8D012}" name="Column14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7251CF-650C-4B88-A4F4-87E59E9CE726}" name="Table7" displayName="Table7" ref="C289:X323" totalsRowShown="0">
  <autoFilter ref="C289:X323" xr:uid="{447251CF-650C-4B88-A4F4-87E59E9CE726}"/>
  <tableColumns count="22">
    <tableColumn id="1" xr3:uid="{44F80D29-6A64-4CD9-9C57-FEACBE13B716}" name="S/N"/>
    <tableColumn id="2" xr3:uid="{57BD18FF-B79A-4F81-BE8B-5652DD41C8A5}" name="DATE"/>
    <tableColumn id="3" xr3:uid="{6A2DF5B0-9B39-496B-B2CF-4C2A99E07F51}" name="TIME"/>
    <tableColumn id="4" xr3:uid="{F6438C08-A7F2-48E1-9D2F-75A414AF2A1F}" name="Column1"/>
    <tableColumn id="5" xr3:uid="{C4E60399-D5C2-4B2A-81C1-F1EDB2E7E448}" name="READINGS"/>
    <tableColumn id="6" xr3:uid="{D9A10B1B-CC13-4C92-8146-833B4F16D27F}" name="Column2"/>
    <tableColumn id="7" xr3:uid="{6BB58491-B892-4ED0-A95F-61A0EF2267D7}" name="Column3"/>
    <tableColumn id="8" xr3:uid="{32618845-452E-4071-BC91-189BCB9FB30A}" name="Column4"/>
    <tableColumn id="9" xr3:uid="{B7F7F2A1-B2CC-4854-97EF-5EAB4521645F}" name="Column5"/>
    <tableColumn id="10" xr3:uid="{AEAEBD27-1E99-4313-BDBE-5BDF98AD99A5}" name="Column6"/>
    <tableColumn id="11" xr3:uid="{746966BE-B741-4B8A-982F-3F9D393E5964}" name="Column7"/>
    <tableColumn id="12" xr3:uid="{B57E5432-F537-49DB-932A-0508445BFDD1}" name="Column8"/>
    <tableColumn id="13" xr3:uid="{37D09901-AC42-43D7-8B24-C5B1C46247E0}" name="Column9"/>
    <tableColumn id="14" xr3:uid="{DADAE56C-78C8-4390-A59E-9288AE978719}" name="Column10"/>
    <tableColumn id="15" xr3:uid="{41A850E3-750B-490E-8260-3A97C9220777}" name="MEAN"/>
    <tableColumn id="16" xr3:uid="{E0F14907-187F-4A6E-8F4B-4F0CE312BD2D}" name="Column11"/>
    <tableColumn id="17" xr3:uid="{D2E46025-B4E7-4FBF-BAE5-042FC6230890}" name="Column12"/>
    <tableColumn id="18" xr3:uid="{165AC385-3906-46D3-BE76-D324D11759A2}" name="Column13"/>
    <tableColumn id="19" xr3:uid="{FDB18B3C-54CE-451F-B981-C3F1FCC9CDB0}" name="Column14"/>
    <tableColumn id="20" xr3:uid="{F2EB3488-856C-405F-A544-CD7D986881CD}" name="Column15"/>
    <tableColumn id="21" xr3:uid="{44BDC8F5-7EA4-4051-8061-3D2A33200650}" name="Column16"/>
    <tableColumn id="22" xr3:uid="{9456F45D-7CE8-4D25-A37F-E29B35E08BF6}" name="Column17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2D55AC-D7BC-4D34-A8DF-CF5232F65376}" name="Table8" displayName="Table8" ref="C327:R362" totalsRowShown="0">
  <autoFilter ref="C327:R362" xr:uid="{172D55AC-D7BC-4D34-A8DF-CF5232F65376}"/>
  <tableColumns count="16">
    <tableColumn id="1" xr3:uid="{15DDC309-3DC5-422A-89DD-973E34B27551}" name="S/N"/>
    <tableColumn id="2" xr3:uid="{DA389555-D2DC-4B9C-8317-1508DE2F4959}" name="DATE"/>
    <tableColumn id="3" xr3:uid="{648C80DE-2BA5-44F3-A1F0-BC62834481BB}" name="TIME"/>
    <tableColumn id="4" xr3:uid="{9F287BE5-765F-4450-AABF-DF945519D7CB}" name="Column1"/>
    <tableColumn id="5" xr3:uid="{B40D3B54-5814-4936-8E4F-2B64E7D8C918}" name="Column2"/>
    <tableColumn id="6" xr3:uid="{EE194F17-12F7-4A57-8DC2-F1F0E4591CA4}" name="Column3"/>
    <tableColumn id="7" xr3:uid="{7CF6438E-EFB5-407F-A9A1-25243D098D8A}" name="Column4"/>
    <tableColumn id="8" xr3:uid="{23B8F98E-1A65-4561-B363-FC0CBEA76CAD}" name="Column5"/>
    <tableColumn id="9" xr3:uid="{C7FC6A05-F318-466B-9156-BC2E77D3E655}" name="Column6"/>
    <tableColumn id="10" xr3:uid="{CC6B4570-7337-4F1B-9150-197EE26EBA94}" name="Column7"/>
    <tableColumn id="11" xr3:uid="{AF81B0EF-48C2-467C-9FA7-832540CBB2C4}" name="Column8"/>
    <tableColumn id="12" xr3:uid="{FD8BCDB5-FBD5-407E-8B29-D626781A3085}" name="Column9"/>
    <tableColumn id="13" xr3:uid="{5DDE411E-AC9C-4340-9B64-CB23BCD7933F}" name="Column10"/>
    <tableColumn id="14" xr3:uid="{E9B620F0-21E6-489A-B6F4-CA26AF43FDCE}" name="Column11"/>
    <tableColumn id="15" xr3:uid="{C5DD7C0B-D2CA-45C0-ACBE-9CDFDA5881CC}" name="Column12"/>
    <tableColumn id="16" xr3:uid="{F7EBC9CD-9C51-4629-98AA-074E240627A9}" name="Column1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7ECC-EFB9-4D17-BFDA-1EE59FBE10BE}">
  <dimension ref="B1:Y362"/>
  <sheetViews>
    <sheetView tabSelected="1" topLeftCell="A166" zoomScale="68" workbookViewId="0">
      <selection activeCell="R178" sqref="R178:S205"/>
    </sheetView>
  </sheetViews>
  <sheetFormatPr defaultColWidth="5.77734375" defaultRowHeight="14.4" x14ac:dyDescent="0.3"/>
  <cols>
    <col min="2" max="2" width="7" bestFit="1" customWidth="1"/>
    <col min="3" max="3" width="12.33203125" bestFit="1" customWidth="1"/>
    <col min="4" max="4" width="13.5546875" customWidth="1"/>
    <col min="5" max="5" width="10.109375" customWidth="1"/>
    <col min="6" max="6" width="13.88671875" bestFit="1" customWidth="1"/>
    <col min="7" max="7" width="11.88671875" customWidth="1"/>
    <col min="8" max="13" width="11" customWidth="1"/>
    <col min="14" max="14" width="11.109375" customWidth="1"/>
    <col min="15" max="24" width="12.109375" customWidth="1"/>
  </cols>
  <sheetData>
    <row r="1" spans="2:23" ht="15" thickBot="1" x14ac:dyDescent="0.35">
      <c r="C1" t="s">
        <v>9</v>
      </c>
    </row>
    <row r="2" spans="2:23" ht="15" thickBot="1" x14ac:dyDescent="0.35">
      <c r="B2" s="12" t="s">
        <v>0</v>
      </c>
      <c r="C2" s="12" t="s">
        <v>1</v>
      </c>
      <c r="D2" s="12" t="s">
        <v>2</v>
      </c>
      <c r="E2" s="1"/>
      <c r="F2" s="16" t="s">
        <v>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7"/>
      <c r="V2" s="16" t="s">
        <v>5</v>
      </c>
      <c r="W2" s="17"/>
    </row>
    <row r="3" spans="2:23" ht="15" thickBot="1" x14ac:dyDescent="0.35">
      <c r="B3" s="13"/>
      <c r="C3" s="13"/>
      <c r="D3" s="13"/>
      <c r="E3" s="2" t="s">
        <v>3</v>
      </c>
      <c r="F3" s="19">
        <v>1</v>
      </c>
      <c r="G3" s="20"/>
      <c r="H3" s="19">
        <v>2</v>
      </c>
      <c r="I3" s="20"/>
      <c r="J3" s="19">
        <v>3</v>
      </c>
      <c r="K3" s="20"/>
      <c r="L3" s="19">
        <v>4</v>
      </c>
      <c r="M3" s="20"/>
      <c r="N3" s="19">
        <v>5</v>
      </c>
      <c r="O3" s="20"/>
      <c r="P3" s="19">
        <v>6</v>
      </c>
      <c r="Q3" s="20"/>
      <c r="R3" s="19">
        <v>7</v>
      </c>
      <c r="S3" s="20"/>
      <c r="T3" s="19">
        <v>8</v>
      </c>
      <c r="U3" s="20"/>
      <c r="V3" s="21"/>
      <c r="W3" s="22"/>
    </row>
    <row r="4" spans="2:23" ht="15" thickBot="1" x14ac:dyDescent="0.35">
      <c r="B4" s="14"/>
      <c r="C4" s="14"/>
      <c r="D4" s="14"/>
      <c r="E4" s="3"/>
      <c r="F4" s="4" t="s">
        <v>6</v>
      </c>
      <c r="G4" s="4" t="s">
        <v>7</v>
      </c>
      <c r="H4" s="4" t="s">
        <v>6</v>
      </c>
      <c r="I4" s="4" t="s">
        <v>7</v>
      </c>
      <c r="J4" s="4" t="s">
        <v>6</v>
      </c>
      <c r="K4" s="4" t="s">
        <v>7</v>
      </c>
      <c r="L4" s="4" t="s">
        <v>6</v>
      </c>
      <c r="M4" s="4" t="s">
        <v>7</v>
      </c>
      <c r="N4" s="4" t="s">
        <v>6</v>
      </c>
      <c r="O4" s="4" t="s">
        <v>7</v>
      </c>
      <c r="P4" s="4" t="s">
        <v>6</v>
      </c>
      <c r="Q4" s="4" t="s">
        <v>7</v>
      </c>
      <c r="R4" s="4" t="s">
        <v>6</v>
      </c>
      <c r="S4" s="4" t="s">
        <v>7</v>
      </c>
      <c r="T4" s="4" t="s">
        <v>6</v>
      </c>
      <c r="U4" s="4" t="s">
        <v>7</v>
      </c>
      <c r="V4" s="5" t="s">
        <v>6</v>
      </c>
      <c r="W4" s="4" t="s">
        <v>7</v>
      </c>
    </row>
    <row r="5" spans="2:23" ht="15" thickBot="1" x14ac:dyDescent="0.35">
      <c r="B5" s="24">
        <v>1</v>
      </c>
      <c r="C5" s="26">
        <v>45892</v>
      </c>
      <c r="D5" s="8">
        <v>0.375</v>
      </c>
      <c r="E5" s="9" t="s">
        <v>8</v>
      </c>
      <c r="F5" s="9">
        <v>24</v>
      </c>
      <c r="G5" s="9">
        <v>62</v>
      </c>
      <c r="H5" s="9">
        <v>2</v>
      </c>
      <c r="I5" s="9">
        <v>62</v>
      </c>
      <c r="J5" s="9">
        <v>23</v>
      </c>
      <c r="K5" s="9">
        <v>64</v>
      </c>
      <c r="L5" s="9">
        <v>23</v>
      </c>
      <c r="M5" s="9">
        <v>64</v>
      </c>
      <c r="N5" s="9">
        <v>22</v>
      </c>
      <c r="O5" s="9">
        <v>64</v>
      </c>
      <c r="P5" s="9">
        <v>21</v>
      </c>
      <c r="Q5" s="9">
        <v>65</v>
      </c>
      <c r="R5" s="9">
        <v>22</v>
      </c>
      <c r="S5" s="9">
        <v>64</v>
      </c>
      <c r="T5" s="9">
        <v>23</v>
      </c>
      <c r="U5" s="9">
        <v>62</v>
      </c>
      <c r="V5" s="9">
        <v>22.625</v>
      </c>
      <c r="W5" s="9">
        <v>63.5</v>
      </c>
    </row>
    <row r="6" spans="2:23" ht="15" thickBot="1" x14ac:dyDescent="0.35">
      <c r="B6" s="23"/>
      <c r="C6" s="27"/>
      <c r="D6" s="10">
        <v>0.45833333333333331</v>
      </c>
      <c r="E6" s="4" t="s">
        <v>8</v>
      </c>
      <c r="F6" s="4">
        <v>25</v>
      </c>
      <c r="G6" s="4">
        <v>59</v>
      </c>
      <c r="H6" s="4">
        <v>27</v>
      </c>
      <c r="I6" s="4">
        <v>60</v>
      </c>
      <c r="J6" s="4">
        <v>25</v>
      </c>
      <c r="K6" s="4">
        <v>61</v>
      </c>
      <c r="L6" s="4">
        <v>24</v>
      </c>
      <c r="M6" s="4">
        <v>62</v>
      </c>
      <c r="N6" s="4">
        <v>25</v>
      </c>
      <c r="O6" s="4">
        <v>61</v>
      </c>
      <c r="P6" s="4">
        <v>23</v>
      </c>
      <c r="Q6" s="4">
        <v>62</v>
      </c>
      <c r="R6" s="4">
        <v>25</v>
      </c>
      <c r="S6" s="4">
        <v>61</v>
      </c>
      <c r="T6" s="4">
        <v>25</v>
      </c>
      <c r="U6" s="4">
        <v>60</v>
      </c>
      <c r="V6" s="11">
        <v>24.875</v>
      </c>
      <c r="W6" s="11">
        <v>60.625</v>
      </c>
    </row>
    <row r="7" spans="2:23" ht="15" thickBot="1" x14ac:dyDescent="0.35">
      <c r="B7" s="23"/>
      <c r="C7" s="27"/>
      <c r="D7" s="8">
        <v>0.54166666666666663</v>
      </c>
      <c r="E7" s="9" t="s">
        <v>8</v>
      </c>
      <c r="F7" s="9">
        <v>27</v>
      </c>
      <c r="G7" s="9">
        <v>57</v>
      </c>
      <c r="H7" s="9">
        <v>28</v>
      </c>
      <c r="I7" s="9">
        <v>59</v>
      </c>
      <c r="J7" s="9">
        <v>27</v>
      </c>
      <c r="K7" s="9">
        <v>58</v>
      </c>
      <c r="L7" s="9">
        <v>26</v>
      </c>
      <c r="M7" s="9">
        <v>60</v>
      </c>
      <c r="N7" s="9">
        <v>26</v>
      </c>
      <c r="O7" s="9">
        <v>58</v>
      </c>
      <c r="P7" s="9">
        <v>26</v>
      </c>
      <c r="Q7" s="9">
        <v>58</v>
      </c>
      <c r="R7" s="9">
        <v>27</v>
      </c>
      <c r="S7" s="9">
        <v>58</v>
      </c>
      <c r="T7" s="9">
        <v>27</v>
      </c>
      <c r="U7" s="9">
        <v>57</v>
      </c>
      <c r="V7" s="9">
        <v>26.75</v>
      </c>
      <c r="W7" s="9">
        <v>57.75</v>
      </c>
    </row>
    <row r="8" spans="2:23" ht="15" thickBot="1" x14ac:dyDescent="0.35">
      <c r="B8" s="25"/>
      <c r="C8" s="28"/>
      <c r="D8" s="10">
        <v>0.625</v>
      </c>
      <c r="E8" s="4" t="s">
        <v>8</v>
      </c>
      <c r="F8" s="4">
        <v>29</v>
      </c>
      <c r="G8" s="4">
        <v>56</v>
      </c>
      <c r="H8" s="4">
        <v>29</v>
      </c>
      <c r="I8" s="4">
        <v>57</v>
      </c>
      <c r="J8" s="4">
        <v>28</v>
      </c>
      <c r="K8" s="4">
        <v>55</v>
      </c>
      <c r="L8" s="4">
        <v>28</v>
      </c>
      <c r="M8" s="4">
        <v>57</v>
      </c>
      <c r="N8" s="4">
        <v>27</v>
      </c>
      <c r="O8" s="4">
        <v>54</v>
      </c>
      <c r="P8" s="4">
        <v>28</v>
      </c>
      <c r="Q8" s="4">
        <v>54</v>
      </c>
      <c r="R8" s="4">
        <v>28</v>
      </c>
      <c r="S8" s="4">
        <v>54</v>
      </c>
      <c r="T8" s="4">
        <v>28</v>
      </c>
      <c r="U8" s="4">
        <v>54</v>
      </c>
      <c r="V8" s="11">
        <v>28.125</v>
      </c>
      <c r="W8" s="11">
        <v>55.125</v>
      </c>
    </row>
    <row r="9" spans="2:23" ht="15" thickBot="1" x14ac:dyDescent="0.35">
      <c r="B9" s="24">
        <v>2</v>
      </c>
      <c r="C9" s="26">
        <v>45893</v>
      </c>
      <c r="D9" s="8">
        <v>0.375</v>
      </c>
      <c r="E9" s="9" t="s">
        <v>8</v>
      </c>
      <c r="F9" s="9">
        <v>23</v>
      </c>
      <c r="G9" s="9">
        <v>64</v>
      </c>
      <c r="H9" s="9">
        <v>22</v>
      </c>
      <c r="I9" s="9">
        <v>64</v>
      </c>
      <c r="J9" s="9">
        <v>21</v>
      </c>
      <c r="K9" s="9">
        <v>65</v>
      </c>
      <c r="L9" s="9">
        <v>23</v>
      </c>
      <c r="M9" s="9">
        <v>63</v>
      </c>
      <c r="N9" s="9">
        <v>22</v>
      </c>
      <c r="O9" s="9">
        <v>65</v>
      </c>
      <c r="P9" s="9">
        <v>25</v>
      </c>
      <c r="Q9" s="9">
        <v>63</v>
      </c>
      <c r="R9" s="9">
        <v>23</v>
      </c>
      <c r="S9" s="9">
        <v>66</v>
      </c>
      <c r="T9" s="9">
        <v>21</v>
      </c>
      <c r="U9" s="9">
        <v>64</v>
      </c>
      <c r="V9" s="9">
        <v>22.375</v>
      </c>
      <c r="W9" s="9">
        <v>64.375</v>
      </c>
    </row>
    <row r="10" spans="2:23" ht="15" thickBot="1" x14ac:dyDescent="0.35">
      <c r="B10" s="23"/>
      <c r="C10" s="27"/>
      <c r="D10" s="10">
        <v>0.45833333333333331</v>
      </c>
      <c r="E10" s="4" t="s">
        <v>8</v>
      </c>
      <c r="F10" s="4">
        <v>24</v>
      </c>
      <c r="G10" s="4">
        <v>63</v>
      </c>
      <c r="H10" s="4">
        <v>24</v>
      </c>
      <c r="I10" s="4">
        <v>60</v>
      </c>
      <c r="J10" s="4">
        <v>24</v>
      </c>
      <c r="K10" s="4">
        <v>63</v>
      </c>
      <c r="L10" s="4">
        <v>25</v>
      </c>
      <c r="M10" s="4">
        <v>60</v>
      </c>
      <c r="N10" s="4">
        <v>25</v>
      </c>
      <c r="O10" s="4">
        <v>60</v>
      </c>
      <c r="P10" s="4">
        <v>25</v>
      </c>
      <c r="Q10" s="4">
        <v>60</v>
      </c>
      <c r="R10" s="4">
        <v>25</v>
      </c>
      <c r="S10" s="4">
        <v>62</v>
      </c>
      <c r="T10" s="4">
        <v>24</v>
      </c>
      <c r="U10" s="4">
        <v>61</v>
      </c>
      <c r="V10" s="11">
        <v>24.5</v>
      </c>
      <c r="W10" s="11">
        <v>60.875</v>
      </c>
    </row>
    <row r="11" spans="2:23" ht="15" thickBot="1" x14ac:dyDescent="0.35">
      <c r="B11" s="23"/>
      <c r="C11" s="27"/>
      <c r="D11" s="8">
        <v>0.54166666666666663</v>
      </c>
      <c r="E11" s="9" t="s">
        <v>8</v>
      </c>
      <c r="F11" s="9">
        <v>27</v>
      </c>
      <c r="G11" s="9">
        <v>59</v>
      </c>
      <c r="H11" s="9">
        <v>27</v>
      </c>
      <c r="I11" s="9">
        <v>58</v>
      </c>
      <c r="J11" s="9">
        <v>26</v>
      </c>
      <c r="K11" s="9">
        <v>63</v>
      </c>
      <c r="L11" s="9">
        <v>26</v>
      </c>
      <c r="M11" s="9">
        <v>57</v>
      </c>
      <c r="N11" s="9">
        <v>26</v>
      </c>
      <c r="O11" s="9">
        <v>57</v>
      </c>
      <c r="P11" s="9">
        <v>27</v>
      </c>
      <c r="Q11" s="9">
        <v>57</v>
      </c>
      <c r="R11" s="9">
        <v>27</v>
      </c>
      <c r="S11" s="9">
        <v>58</v>
      </c>
      <c r="T11" s="9">
        <v>26</v>
      </c>
      <c r="U11" s="9">
        <v>58</v>
      </c>
      <c r="V11" s="9">
        <v>26.5</v>
      </c>
      <c r="W11" s="9">
        <v>57.875</v>
      </c>
    </row>
    <row r="12" spans="2:23" ht="15" thickBot="1" x14ac:dyDescent="0.35">
      <c r="B12" s="25"/>
      <c r="C12" s="28"/>
      <c r="D12" s="10">
        <v>0.625</v>
      </c>
      <c r="E12" s="4" t="s">
        <v>8</v>
      </c>
      <c r="F12" s="4">
        <v>28</v>
      </c>
      <c r="G12" s="4">
        <v>60</v>
      </c>
      <c r="H12" s="4">
        <v>29</v>
      </c>
      <c r="I12" s="4">
        <v>53</v>
      </c>
      <c r="J12" s="4">
        <v>27</v>
      </c>
      <c r="K12" s="4">
        <v>60</v>
      </c>
      <c r="L12" s="4">
        <v>28</v>
      </c>
      <c r="M12" s="4">
        <v>54</v>
      </c>
      <c r="N12" s="4">
        <v>28</v>
      </c>
      <c r="O12" s="4">
        <v>53</v>
      </c>
      <c r="P12" s="4">
        <v>29</v>
      </c>
      <c r="Q12" s="4">
        <v>53</v>
      </c>
      <c r="R12" s="4">
        <v>29</v>
      </c>
      <c r="S12" s="4">
        <v>55</v>
      </c>
      <c r="T12" s="4">
        <v>30</v>
      </c>
      <c r="U12" s="4">
        <v>54</v>
      </c>
      <c r="V12" s="11">
        <v>28.5</v>
      </c>
      <c r="W12" s="11">
        <v>55.25</v>
      </c>
    </row>
    <row r="13" spans="2:23" ht="15" thickBot="1" x14ac:dyDescent="0.35">
      <c r="B13" s="24">
        <v>3</v>
      </c>
      <c r="C13" s="26">
        <v>45163</v>
      </c>
      <c r="D13" s="8">
        <v>0.375</v>
      </c>
      <c r="E13" s="9" t="s">
        <v>8</v>
      </c>
      <c r="F13" s="9">
        <v>23</v>
      </c>
      <c r="G13" s="9">
        <v>64</v>
      </c>
      <c r="H13" s="9">
        <v>23</v>
      </c>
      <c r="I13" s="9">
        <v>63</v>
      </c>
      <c r="J13" s="9">
        <v>23</v>
      </c>
      <c r="K13" s="9">
        <v>64</v>
      </c>
      <c r="L13" s="9">
        <v>22</v>
      </c>
      <c r="M13" s="9">
        <v>65</v>
      </c>
      <c r="N13" s="9">
        <v>22</v>
      </c>
      <c r="O13" s="9">
        <v>66</v>
      </c>
      <c r="P13" s="9">
        <v>23</v>
      </c>
      <c r="Q13" s="9">
        <v>64</v>
      </c>
      <c r="R13" s="9">
        <v>22</v>
      </c>
      <c r="S13" s="9">
        <v>65</v>
      </c>
      <c r="T13" s="9">
        <v>22</v>
      </c>
      <c r="U13" s="9">
        <v>63</v>
      </c>
      <c r="V13" s="9">
        <v>22.375</v>
      </c>
      <c r="W13" s="9">
        <v>64.125</v>
      </c>
    </row>
    <row r="14" spans="2:23" ht="15" thickBot="1" x14ac:dyDescent="0.35">
      <c r="B14" s="23"/>
      <c r="C14" s="27"/>
      <c r="D14" s="10">
        <v>0.45833333333333331</v>
      </c>
      <c r="E14" s="4" t="s">
        <v>8</v>
      </c>
      <c r="F14" s="4">
        <v>25</v>
      </c>
      <c r="G14" s="4">
        <v>62</v>
      </c>
      <c r="H14" s="4">
        <v>25</v>
      </c>
      <c r="I14" s="4">
        <v>60</v>
      </c>
      <c r="J14" s="4">
        <v>26</v>
      </c>
      <c r="K14" s="4">
        <v>64</v>
      </c>
      <c r="L14" s="4">
        <v>25</v>
      </c>
      <c r="M14" s="4">
        <v>63</v>
      </c>
      <c r="N14" s="4">
        <v>25</v>
      </c>
      <c r="O14" s="4">
        <v>63</v>
      </c>
      <c r="P14" s="4">
        <v>26</v>
      </c>
      <c r="Q14" s="4">
        <v>61</v>
      </c>
      <c r="R14" s="4">
        <v>26</v>
      </c>
      <c r="S14" s="4">
        <v>62</v>
      </c>
      <c r="T14" s="4">
        <v>24</v>
      </c>
      <c r="U14" s="4">
        <v>61</v>
      </c>
      <c r="V14" s="11">
        <v>25.25</v>
      </c>
      <c r="W14" s="11">
        <v>62</v>
      </c>
    </row>
    <row r="15" spans="2:23" ht="15" thickBot="1" x14ac:dyDescent="0.35">
      <c r="B15" s="23"/>
      <c r="C15" s="27"/>
      <c r="D15" s="8">
        <v>0.54166666666666663</v>
      </c>
      <c r="E15" s="9" t="s">
        <v>8</v>
      </c>
      <c r="F15" s="9">
        <v>27</v>
      </c>
      <c r="G15" s="9">
        <v>59</v>
      </c>
      <c r="H15" s="9">
        <v>27</v>
      </c>
      <c r="I15" s="9">
        <v>56</v>
      </c>
      <c r="J15" s="9">
        <v>26</v>
      </c>
      <c r="K15" s="9">
        <v>62</v>
      </c>
      <c r="L15" s="9">
        <v>26</v>
      </c>
      <c r="M15" s="9">
        <v>57</v>
      </c>
      <c r="N15" s="9">
        <v>26</v>
      </c>
      <c r="O15" s="9">
        <v>60</v>
      </c>
      <c r="P15" s="9">
        <v>27</v>
      </c>
      <c r="Q15" s="9">
        <v>57</v>
      </c>
      <c r="R15" s="9">
        <v>27</v>
      </c>
      <c r="S15" s="9">
        <v>58</v>
      </c>
      <c r="T15" s="9">
        <v>27</v>
      </c>
      <c r="U15" s="9">
        <v>57</v>
      </c>
      <c r="V15" s="9">
        <v>26.625</v>
      </c>
      <c r="W15" s="9">
        <v>58.25</v>
      </c>
    </row>
    <row r="16" spans="2:23" ht="15" thickBot="1" x14ac:dyDescent="0.35">
      <c r="B16" s="25"/>
      <c r="C16" s="28"/>
      <c r="D16" s="10">
        <v>0.625</v>
      </c>
      <c r="E16" s="4" t="s">
        <v>8</v>
      </c>
      <c r="F16" s="4">
        <v>28</v>
      </c>
      <c r="G16" s="4">
        <v>57</v>
      </c>
      <c r="H16" s="4">
        <v>29</v>
      </c>
      <c r="I16" s="4">
        <v>53</v>
      </c>
      <c r="J16" s="4">
        <v>28</v>
      </c>
      <c r="K16" s="4">
        <v>60</v>
      </c>
      <c r="L16" s="4">
        <v>29</v>
      </c>
      <c r="M16" s="4">
        <v>55</v>
      </c>
      <c r="N16" s="4">
        <v>27</v>
      </c>
      <c r="O16" s="4">
        <v>57</v>
      </c>
      <c r="P16" s="4">
        <v>29</v>
      </c>
      <c r="Q16" s="4">
        <v>55</v>
      </c>
      <c r="R16" s="4">
        <v>30</v>
      </c>
      <c r="S16" s="4">
        <v>54</v>
      </c>
      <c r="T16" s="4">
        <v>29</v>
      </c>
      <c r="U16" s="4">
        <v>54</v>
      </c>
      <c r="V16" s="11">
        <v>28.5</v>
      </c>
      <c r="W16" s="11">
        <v>55.625</v>
      </c>
    </row>
    <row r="17" spans="2:23" ht="15" thickBot="1" x14ac:dyDescent="0.35">
      <c r="B17" s="24">
        <v>4</v>
      </c>
      <c r="C17" s="26">
        <v>44952</v>
      </c>
      <c r="D17" s="8">
        <v>0.375</v>
      </c>
      <c r="E17" s="9" t="s">
        <v>8</v>
      </c>
      <c r="F17" s="9">
        <v>22</v>
      </c>
      <c r="G17" s="9">
        <v>65</v>
      </c>
      <c r="H17" s="9">
        <v>22</v>
      </c>
      <c r="I17" s="9">
        <v>64</v>
      </c>
      <c r="J17" s="9">
        <v>22</v>
      </c>
      <c r="K17" s="9">
        <v>63</v>
      </c>
      <c r="L17" s="9">
        <v>22</v>
      </c>
      <c r="M17" s="9">
        <v>64</v>
      </c>
      <c r="N17" s="9">
        <v>21</v>
      </c>
      <c r="O17" s="9">
        <v>64</v>
      </c>
      <c r="P17" s="9">
        <v>23</v>
      </c>
      <c r="Q17" s="9">
        <v>64</v>
      </c>
      <c r="R17" s="9">
        <v>24</v>
      </c>
      <c r="S17" s="9">
        <v>62</v>
      </c>
      <c r="T17" s="9">
        <v>22</v>
      </c>
      <c r="U17" s="9">
        <v>63</v>
      </c>
      <c r="V17" s="9">
        <v>22.125</v>
      </c>
      <c r="W17" s="9">
        <v>63.625</v>
      </c>
    </row>
    <row r="18" spans="2:23" ht="15" thickBot="1" x14ac:dyDescent="0.35">
      <c r="B18" s="23"/>
      <c r="C18" s="27"/>
      <c r="D18" s="10">
        <v>0.45833333333333331</v>
      </c>
      <c r="E18" s="4" t="s">
        <v>8</v>
      </c>
      <c r="F18" s="4">
        <v>24</v>
      </c>
      <c r="G18" s="4">
        <v>63</v>
      </c>
      <c r="H18" s="4">
        <v>24</v>
      </c>
      <c r="I18" s="4">
        <v>61</v>
      </c>
      <c r="J18" s="4">
        <v>25</v>
      </c>
      <c r="K18" s="4">
        <v>63</v>
      </c>
      <c r="L18" s="4">
        <v>25</v>
      </c>
      <c r="M18" s="4">
        <v>61</v>
      </c>
      <c r="N18" s="4">
        <v>26</v>
      </c>
      <c r="O18" s="4">
        <v>62</v>
      </c>
      <c r="P18" s="4">
        <v>25</v>
      </c>
      <c r="Q18" s="4">
        <v>62</v>
      </c>
      <c r="R18" s="4">
        <v>26</v>
      </c>
      <c r="S18" s="4">
        <v>58</v>
      </c>
      <c r="T18" s="4">
        <v>25</v>
      </c>
      <c r="U18" s="4">
        <v>60</v>
      </c>
      <c r="V18" s="11">
        <v>25</v>
      </c>
      <c r="W18" s="11">
        <v>61.25</v>
      </c>
    </row>
    <row r="19" spans="2:23" ht="15" thickBot="1" x14ac:dyDescent="0.35">
      <c r="B19" s="23"/>
      <c r="C19" s="27"/>
      <c r="D19" s="8">
        <v>0.54166666666666663</v>
      </c>
      <c r="E19" s="9" t="s">
        <v>8</v>
      </c>
      <c r="F19" s="9">
        <v>27</v>
      </c>
      <c r="G19" s="9">
        <v>61</v>
      </c>
      <c r="H19" s="9">
        <v>25</v>
      </c>
      <c r="I19" s="9">
        <v>61</v>
      </c>
      <c r="J19" s="9">
        <v>27</v>
      </c>
      <c r="K19" s="9">
        <v>61</v>
      </c>
      <c r="L19" s="9">
        <v>28</v>
      </c>
      <c r="M19" s="9">
        <v>58</v>
      </c>
      <c r="N19" s="9">
        <v>28</v>
      </c>
      <c r="O19" s="9">
        <v>58</v>
      </c>
      <c r="P19" s="9">
        <v>29</v>
      </c>
      <c r="Q19" s="9">
        <v>59</v>
      </c>
      <c r="R19" s="9">
        <v>28</v>
      </c>
      <c r="S19" s="9">
        <v>55</v>
      </c>
      <c r="T19" s="9">
        <v>27</v>
      </c>
      <c r="U19" s="9">
        <v>57</v>
      </c>
      <c r="V19" s="9">
        <v>27.25</v>
      </c>
      <c r="W19" s="9">
        <v>58.75</v>
      </c>
    </row>
    <row r="20" spans="2:23" ht="15" thickBot="1" x14ac:dyDescent="0.35">
      <c r="B20" s="25"/>
      <c r="C20" s="28"/>
      <c r="D20" s="10">
        <v>0.625</v>
      </c>
      <c r="E20" s="4" t="s">
        <v>8</v>
      </c>
      <c r="F20" s="4">
        <v>29</v>
      </c>
      <c r="G20" s="4">
        <v>55</v>
      </c>
      <c r="H20" s="4">
        <v>28</v>
      </c>
      <c r="I20" s="4">
        <v>57</v>
      </c>
      <c r="J20" s="4">
        <v>28</v>
      </c>
      <c r="K20" s="4">
        <v>59</v>
      </c>
      <c r="L20" s="4">
        <v>30</v>
      </c>
      <c r="M20" s="4">
        <v>55</v>
      </c>
      <c r="N20" s="4">
        <v>28</v>
      </c>
      <c r="O20" s="4">
        <v>55</v>
      </c>
      <c r="P20" s="4">
        <v>29</v>
      </c>
      <c r="Q20" s="4">
        <v>56</v>
      </c>
      <c r="R20" s="4">
        <v>29</v>
      </c>
      <c r="S20" s="4">
        <v>53</v>
      </c>
      <c r="T20" s="4">
        <v>28</v>
      </c>
      <c r="U20" s="4">
        <v>53</v>
      </c>
      <c r="V20" s="11">
        <v>28.625</v>
      </c>
      <c r="W20" s="11">
        <v>55.375</v>
      </c>
    </row>
    <row r="21" spans="2:23" ht="15" thickBot="1" x14ac:dyDescent="0.35">
      <c r="B21" s="24">
        <v>5</v>
      </c>
      <c r="C21" s="26">
        <v>44953</v>
      </c>
      <c r="D21" s="8">
        <v>0.375</v>
      </c>
      <c r="E21" s="9" t="s">
        <v>8</v>
      </c>
      <c r="F21" s="9">
        <v>22</v>
      </c>
      <c r="G21" s="9">
        <v>63</v>
      </c>
      <c r="H21" s="9">
        <v>21</v>
      </c>
      <c r="I21" s="9">
        <v>62</v>
      </c>
      <c r="J21" s="9">
        <v>22</v>
      </c>
      <c r="K21" s="9">
        <v>63</v>
      </c>
      <c r="L21" s="9">
        <v>23</v>
      </c>
      <c r="M21" s="9">
        <v>65</v>
      </c>
      <c r="N21" s="9">
        <v>23</v>
      </c>
      <c r="O21" s="9">
        <v>63</v>
      </c>
      <c r="P21" s="9">
        <v>22</v>
      </c>
      <c r="Q21" s="9">
        <v>63</v>
      </c>
      <c r="R21" s="9">
        <v>24</v>
      </c>
      <c r="S21" s="9">
        <v>63</v>
      </c>
      <c r="T21" s="9">
        <v>21</v>
      </c>
      <c r="U21" s="9">
        <v>64</v>
      </c>
      <c r="V21" s="9">
        <v>22.375</v>
      </c>
      <c r="W21" s="9">
        <v>63.25</v>
      </c>
    </row>
    <row r="22" spans="2:23" ht="15" thickBot="1" x14ac:dyDescent="0.35">
      <c r="B22" s="23"/>
      <c r="C22" s="27"/>
      <c r="D22" s="10">
        <v>0.45833333333333331</v>
      </c>
      <c r="E22" s="4" t="s">
        <v>8</v>
      </c>
      <c r="F22" s="4">
        <v>25</v>
      </c>
      <c r="G22" s="4">
        <v>60</v>
      </c>
      <c r="H22" s="4">
        <v>23</v>
      </c>
      <c r="I22" s="4">
        <v>57</v>
      </c>
      <c r="J22" s="4">
        <v>25</v>
      </c>
      <c r="K22" s="4">
        <v>60</v>
      </c>
      <c r="L22" s="4">
        <v>25</v>
      </c>
      <c r="M22" s="4">
        <v>61</v>
      </c>
      <c r="N22" s="4">
        <v>26</v>
      </c>
      <c r="O22" s="4">
        <v>60</v>
      </c>
      <c r="P22" s="4">
        <v>23</v>
      </c>
      <c r="Q22" s="4">
        <v>60</v>
      </c>
      <c r="R22" s="4">
        <v>25</v>
      </c>
      <c r="S22" s="4">
        <v>57</v>
      </c>
      <c r="T22" s="4">
        <v>23</v>
      </c>
      <c r="U22" s="4">
        <v>61</v>
      </c>
      <c r="V22" s="11">
        <v>24.375</v>
      </c>
      <c r="W22" s="11">
        <v>59.5</v>
      </c>
    </row>
    <row r="23" spans="2:23" ht="15" thickBot="1" x14ac:dyDescent="0.35">
      <c r="B23" s="23"/>
      <c r="C23" s="27"/>
      <c r="D23" s="8">
        <v>0.54166666666666663</v>
      </c>
      <c r="E23" s="9" t="s">
        <v>8</v>
      </c>
      <c r="F23" s="9">
        <v>25</v>
      </c>
      <c r="G23" s="9">
        <v>55</v>
      </c>
      <c r="H23" s="9">
        <v>26</v>
      </c>
      <c r="I23" s="9">
        <v>56</v>
      </c>
      <c r="J23" s="9">
        <v>26</v>
      </c>
      <c r="K23" s="9">
        <v>57</v>
      </c>
      <c r="L23" s="9">
        <v>27</v>
      </c>
      <c r="M23" s="9">
        <v>57</v>
      </c>
      <c r="N23" s="9">
        <v>26</v>
      </c>
      <c r="O23" s="9">
        <v>56</v>
      </c>
      <c r="P23" s="9">
        <v>27</v>
      </c>
      <c r="Q23" s="9">
        <v>57</v>
      </c>
      <c r="R23" s="9">
        <v>27</v>
      </c>
      <c r="S23" s="9">
        <v>54</v>
      </c>
      <c r="T23" s="9">
        <v>26</v>
      </c>
      <c r="U23" s="9">
        <v>58</v>
      </c>
      <c r="V23" s="9">
        <v>26.375</v>
      </c>
      <c r="W23" s="9">
        <v>56.25</v>
      </c>
    </row>
    <row r="24" spans="2:23" ht="15" thickBot="1" x14ac:dyDescent="0.35">
      <c r="B24" s="25"/>
      <c r="C24" s="28"/>
      <c r="D24" s="10">
        <v>0.625</v>
      </c>
      <c r="E24" s="4" t="s">
        <v>8</v>
      </c>
      <c r="F24" s="4">
        <v>28</v>
      </c>
      <c r="G24" s="4">
        <v>57</v>
      </c>
      <c r="H24" s="4">
        <v>28</v>
      </c>
      <c r="I24" s="4">
        <v>48</v>
      </c>
      <c r="J24" s="4">
        <v>27</v>
      </c>
      <c r="K24" s="4">
        <v>54</v>
      </c>
      <c r="L24" s="4">
        <v>28</v>
      </c>
      <c r="M24" s="4">
        <v>53</v>
      </c>
      <c r="N24" s="4">
        <v>26</v>
      </c>
      <c r="O24" s="4">
        <v>53</v>
      </c>
      <c r="P24" s="4">
        <v>27</v>
      </c>
      <c r="Q24" s="4">
        <v>53</v>
      </c>
      <c r="R24" s="4">
        <v>30</v>
      </c>
      <c r="S24" s="4">
        <v>51</v>
      </c>
      <c r="T24" s="4">
        <v>29</v>
      </c>
      <c r="U24" s="4">
        <v>55</v>
      </c>
      <c r="V24" s="11">
        <v>27.875</v>
      </c>
      <c r="W24" s="11">
        <v>53</v>
      </c>
    </row>
    <row r="28" spans="2:23" x14ac:dyDescent="0.3"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</row>
    <row r="29" spans="2:23" x14ac:dyDescent="0.3">
      <c r="F29">
        <v>1</v>
      </c>
      <c r="G29">
        <v>2</v>
      </c>
      <c r="H29">
        <v>3</v>
      </c>
      <c r="I29">
        <v>4</v>
      </c>
      <c r="J29">
        <v>5</v>
      </c>
      <c r="K29">
        <v>6</v>
      </c>
      <c r="L29">
        <v>7</v>
      </c>
      <c r="M29">
        <v>8</v>
      </c>
    </row>
    <row r="30" spans="2:23" x14ac:dyDescent="0.3">
      <c r="F30" t="s">
        <v>6</v>
      </c>
      <c r="G30" t="s">
        <v>7</v>
      </c>
      <c r="H30" t="s">
        <v>6</v>
      </c>
      <c r="I30" t="s">
        <v>7</v>
      </c>
      <c r="J30" t="s">
        <v>6</v>
      </c>
      <c r="K30" t="s">
        <v>7</v>
      </c>
      <c r="L30" t="s">
        <v>6</v>
      </c>
      <c r="M30" t="s">
        <v>7</v>
      </c>
      <c r="N30" t="s">
        <v>6</v>
      </c>
      <c r="O30" t="s">
        <v>7</v>
      </c>
      <c r="P30" t="s">
        <v>6</v>
      </c>
      <c r="Q30" t="s">
        <v>7</v>
      </c>
      <c r="R30" t="s">
        <v>6</v>
      </c>
      <c r="S30" t="s">
        <v>7</v>
      </c>
      <c r="T30" t="s">
        <v>6</v>
      </c>
      <c r="U30" t="s">
        <v>7</v>
      </c>
      <c r="V30" t="s">
        <v>6</v>
      </c>
      <c r="W30" t="s">
        <v>7</v>
      </c>
    </row>
    <row r="31" spans="2:23" x14ac:dyDescent="0.3">
      <c r="B31">
        <v>1</v>
      </c>
      <c r="C31" s="6">
        <v>45892</v>
      </c>
      <c r="D31" s="7">
        <v>0.375</v>
      </c>
      <c r="E31" t="s">
        <v>8</v>
      </c>
      <c r="F31">
        <v>23</v>
      </c>
      <c r="G31">
        <v>63</v>
      </c>
      <c r="H31">
        <v>22</v>
      </c>
      <c r="I31">
        <v>64</v>
      </c>
      <c r="J31">
        <v>23</v>
      </c>
      <c r="K31">
        <v>62</v>
      </c>
      <c r="L31">
        <v>22</v>
      </c>
      <c r="M31">
        <v>65</v>
      </c>
      <c r="N31">
        <v>21</v>
      </c>
      <c r="O31">
        <v>64</v>
      </c>
      <c r="P31">
        <v>22</v>
      </c>
      <c r="Q31">
        <v>63</v>
      </c>
      <c r="R31">
        <v>23</v>
      </c>
      <c r="S31">
        <v>64</v>
      </c>
      <c r="T31">
        <v>22</v>
      </c>
      <c r="U31">
        <v>62</v>
      </c>
      <c r="V31">
        <v>22.25</v>
      </c>
      <c r="W31">
        <v>63.38</v>
      </c>
    </row>
    <row r="32" spans="2:23" x14ac:dyDescent="0.3">
      <c r="D32" s="7">
        <v>0.45833333333333331</v>
      </c>
      <c r="E32" t="s">
        <v>8</v>
      </c>
      <c r="F32">
        <v>25</v>
      </c>
      <c r="G32">
        <v>60</v>
      </c>
      <c r="H32">
        <v>26</v>
      </c>
      <c r="I32">
        <v>61</v>
      </c>
      <c r="J32">
        <v>24</v>
      </c>
      <c r="K32">
        <v>62</v>
      </c>
      <c r="L32">
        <v>25</v>
      </c>
      <c r="M32">
        <v>60</v>
      </c>
      <c r="N32">
        <v>25</v>
      </c>
      <c r="O32">
        <v>61</v>
      </c>
      <c r="P32">
        <v>24</v>
      </c>
      <c r="Q32">
        <v>62</v>
      </c>
      <c r="R32">
        <v>26</v>
      </c>
      <c r="S32">
        <v>60</v>
      </c>
      <c r="T32">
        <v>25</v>
      </c>
      <c r="U32">
        <v>61</v>
      </c>
      <c r="V32">
        <v>25</v>
      </c>
      <c r="W32">
        <v>60.88</v>
      </c>
    </row>
    <row r="33" spans="2:23" x14ac:dyDescent="0.3">
      <c r="D33" s="7">
        <v>0.54166666666666663</v>
      </c>
      <c r="E33" t="s">
        <v>8</v>
      </c>
      <c r="F33">
        <v>27</v>
      </c>
      <c r="G33">
        <v>58</v>
      </c>
      <c r="H33">
        <v>28</v>
      </c>
      <c r="I33">
        <v>59</v>
      </c>
      <c r="J33">
        <v>27</v>
      </c>
      <c r="K33">
        <v>57</v>
      </c>
      <c r="L33">
        <v>26</v>
      </c>
      <c r="M33">
        <v>58</v>
      </c>
      <c r="N33">
        <v>26</v>
      </c>
      <c r="O33">
        <v>57</v>
      </c>
      <c r="P33">
        <v>27</v>
      </c>
      <c r="Q33">
        <v>58</v>
      </c>
      <c r="R33">
        <v>26</v>
      </c>
      <c r="S33">
        <v>57</v>
      </c>
      <c r="T33">
        <v>27</v>
      </c>
      <c r="U33">
        <v>56</v>
      </c>
      <c r="V33">
        <v>26.75</v>
      </c>
      <c r="W33">
        <v>57.5</v>
      </c>
    </row>
    <row r="34" spans="2:23" x14ac:dyDescent="0.3">
      <c r="D34" s="7">
        <v>0.625</v>
      </c>
      <c r="E34" t="s">
        <v>8</v>
      </c>
      <c r="F34">
        <v>29</v>
      </c>
      <c r="G34">
        <v>55</v>
      </c>
      <c r="H34">
        <v>28</v>
      </c>
      <c r="I34">
        <v>56</v>
      </c>
      <c r="J34">
        <v>29</v>
      </c>
      <c r="K34">
        <v>54</v>
      </c>
      <c r="L34">
        <v>28</v>
      </c>
      <c r="M34">
        <v>55</v>
      </c>
      <c r="N34">
        <v>27</v>
      </c>
      <c r="O34">
        <v>54</v>
      </c>
      <c r="P34">
        <v>28</v>
      </c>
      <c r="Q34">
        <v>55</v>
      </c>
      <c r="R34">
        <v>28</v>
      </c>
      <c r="S34">
        <v>53</v>
      </c>
      <c r="T34">
        <v>29</v>
      </c>
      <c r="U34">
        <v>54</v>
      </c>
      <c r="V34">
        <v>28.25</v>
      </c>
      <c r="W34">
        <v>54.5</v>
      </c>
    </row>
    <row r="35" spans="2:23" x14ac:dyDescent="0.3">
      <c r="B35">
        <v>2</v>
      </c>
      <c r="C35" s="6">
        <v>45893</v>
      </c>
      <c r="D35" s="7">
        <v>0.375</v>
      </c>
      <c r="E35" t="s">
        <v>8</v>
      </c>
      <c r="F35">
        <v>22</v>
      </c>
      <c r="G35">
        <v>64</v>
      </c>
      <c r="H35">
        <v>23</v>
      </c>
      <c r="I35">
        <v>65</v>
      </c>
      <c r="J35">
        <v>22</v>
      </c>
      <c r="K35">
        <v>64</v>
      </c>
      <c r="L35">
        <v>23</v>
      </c>
      <c r="M35">
        <v>63</v>
      </c>
      <c r="N35">
        <v>22</v>
      </c>
      <c r="O35">
        <v>65</v>
      </c>
      <c r="P35">
        <v>24</v>
      </c>
      <c r="Q35">
        <v>64</v>
      </c>
      <c r="R35">
        <v>23</v>
      </c>
      <c r="S35">
        <v>66</v>
      </c>
      <c r="T35">
        <v>22</v>
      </c>
      <c r="U35">
        <v>64</v>
      </c>
      <c r="V35">
        <v>22.63</v>
      </c>
      <c r="W35">
        <v>64.38</v>
      </c>
    </row>
    <row r="36" spans="2:23" x14ac:dyDescent="0.3">
      <c r="D36" s="7">
        <v>0.45833333333333331</v>
      </c>
      <c r="E36" t="s">
        <v>8</v>
      </c>
      <c r="F36">
        <v>24</v>
      </c>
      <c r="G36">
        <v>61</v>
      </c>
      <c r="H36">
        <v>25</v>
      </c>
      <c r="I36">
        <v>60</v>
      </c>
      <c r="J36">
        <v>24</v>
      </c>
      <c r="K36">
        <v>62</v>
      </c>
      <c r="L36">
        <v>25</v>
      </c>
      <c r="M36">
        <v>61</v>
      </c>
      <c r="N36">
        <v>26</v>
      </c>
      <c r="O36">
        <v>60</v>
      </c>
      <c r="P36">
        <v>25</v>
      </c>
      <c r="Q36">
        <v>61</v>
      </c>
      <c r="R36">
        <v>24</v>
      </c>
      <c r="S36">
        <v>62</v>
      </c>
      <c r="T36">
        <v>25</v>
      </c>
      <c r="U36">
        <v>60</v>
      </c>
      <c r="V36">
        <v>24.75</v>
      </c>
      <c r="W36">
        <v>60.88</v>
      </c>
    </row>
    <row r="37" spans="2:23" x14ac:dyDescent="0.3">
      <c r="D37" s="7">
        <v>0.54166666666666663</v>
      </c>
      <c r="E37" t="s">
        <v>8</v>
      </c>
      <c r="F37">
        <v>27</v>
      </c>
      <c r="G37">
        <v>58</v>
      </c>
      <c r="H37">
        <v>26</v>
      </c>
      <c r="I37">
        <v>59</v>
      </c>
      <c r="J37">
        <v>27</v>
      </c>
      <c r="K37">
        <v>57</v>
      </c>
      <c r="L37">
        <v>26</v>
      </c>
      <c r="M37">
        <v>58</v>
      </c>
      <c r="N37">
        <v>27</v>
      </c>
      <c r="O37">
        <v>57</v>
      </c>
      <c r="P37">
        <v>26</v>
      </c>
      <c r="Q37">
        <v>58</v>
      </c>
      <c r="R37">
        <v>27</v>
      </c>
      <c r="S37">
        <v>56</v>
      </c>
      <c r="T37">
        <v>26</v>
      </c>
      <c r="U37">
        <v>58</v>
      </c>
      <c r="V37">
        <v>26.5</v>
      </c>
      <c r="W37">
        <v>57.63</v>
      </c>
    </row>
    <row r="38" spans="2:23" x14ac:dyDescent="0.3">
      <c r="D38" s="7">
        <v>0.625</v>
      </c>
      <c r="E38" t="s">
        <v>8</v>
      </c>
      <c r="F38">
        <v>29</v>
      </c>
      <c r="G38">
        <v>54</v>
      </c>
      <c r="H38">
        <v>28</v>
      </c>
      <c r="I38">
        <v>55</v>
      </c>
      <c r="J38">
        <v>27</v>
      </c>
      <c r="K38">
        <v>56</v>
      </c>
      <c r="L38">
        <v>28</v>
      </c>
      <c r="M38">
        <v>54</v>
      </c>
      <c r="N38">
        <v>29</v>
      </c>
      <c r="O38">
        <v>53</v>
      </c>
      <c r="P38">
        <v>28</v>
      </c>
      <c r="Q38">
        <v>54</v>
      </c>
      <c r="R38">
        <v>29</v>
      </c>
      <c r="S38">
        <v>55</v>
      </c>
      <c r="T38">
        <v>28</v>
      </c>
      <c r="U38">
        <v>54</v>
      </c>
      <c r="V38">
        <v>28.25</v>
      </c>
      <c r="W38">
        <v>54.38</v>
      </c>
    </row>
    <row r="39" spans="2:23" x14ac:dyDescent="0.3">
      <c r="B39">
        <v>3</v>
      </c>
      <c r="C39" s="6">
        <v>45894</v>
      </c>
      <c r="D39" s="7">
        <v>0.375</v>
      </c>
      <c r="E39" t="s">
        <v>8</v>
      </c>
      <c r="F39">
        <v>23</v>
      </c>
      <c r="G39">
        <v>64</v>
      </c>
      <c r="H39">
        <v>22</v>
      </c>
      <c r="I39">
        <v>63</v>
      </c>
      <c r="J39">
        <v>23</v>
      </c>
      <c r="K39">
        <v>65</v>
      </c>
      <c r="L39">
        <v>22</v>
      </c>
      <c r="M39">
        <v>64</v>
      </c>
      <c r="N39">
        <v>21</v>
      </c>
      <c r="O39">
        <v>66</v>
      </c>
      <c r="P39">
        <v>23</v>
      </c>
      <c r="Q39">
        <v>64</v>
      </c>
      <c r="R39">
        <v>22</v>
      </c>
      <c r="S39">
        <v>65</v>
      </c>
      <c r="T39">
        <v>22</v>
      </c>
      <c r="U39">
        <v>63</v>
      </c>
      <c r="V39">
        <v>22.25</v>
      </c>
      <c r="W39">
        <v>64.25</v>
      </c>
    </row>
    <row r="40" spans="2:23" x14ac:dyDescent="0.3">
      <c r="D40" s="7">
        <v>0.45833333333333331</v>
      </c>
      <c r="E40" t="s">
        <v>8</v>
      </c>
      <c r="F40">
        <v>25</v>
      </c>
      <c r="G40">
        <v>61</v>
      </c>
      <c r="H40">
        <v>26</v>
      </c>
      <c r="I40">
        <v>62</v>
      </c>
      <c r="J40">
        <v>25</v>
      </c>
      <c r="K40">
        <v>63</v>
      </c>
      <c r="L40">
        <v>26</v>
      </c>
      <c r="M40">
        <v>62</v>
      </c>
      <c r="N40">
        <v>25</v>
      </c>
      <c r="O40">
        <v>63</v>
      </c>
      <c r="P40">
        <v>24</v>
      </c>
      <c r="Q40">
        <v>61</v>
      </c>
      <c r="R40">
        <v>26</v>
      </c>
      <c r="S40">
        <v>62</v>
      </c>
      <c r="T40">
        <v>25</v>
      </c>
      <c r="U40">
        <v>61</v>
      </c>
      <c r="V40">
        <v>25.25</v>
      </c>
      <c r="W40">
        <v>61.88</v>
      </c>
    </row>
    <row r="41" spans="2:23" x14ac:dyDescent="0.3">
      <c r="D41" s="7">
        <v>0.54166666666666663</v>
      </c>
      <c r="E41" t="s">
        <v>8</v>
      </c>
      <c r="F41">
        <v>27</v>
      </c>
      <c r="G41">
        <v>57</v>
      </c>
      <c r="H41">
        <v>26</v>
      </c>
      <c r="I41">
        <v>58</v>
      </c>
      <c r="J41">
        <v>27</v>
      </c>
      <c r="K41">
        <v>59</v>
      </c>
      <c r="L41">
        <v>26</v>
      </c>
      <c r="M41">
        <v>57</v>
      </c>
      <c r="N41">
        <v>27</v>
      </c>
      <c r="O41">
        <v>58</v>
      </c>
      <c r="P41">
        <v>26</v>
      </c>
      <c r="Q41">
        <v>57</v>
      </c>
      <c r="R41">
        <v>27</v>
      </c>
      <c r="S41">
        <v>58</v>
      </c>
      <c r="T41">
        <v>26</v>
      </c>
      <c r="U41">
        <v>57</v>
      </c>
      <c r="V41">
        <v>26.5</v>
      </c>
      <c r="W41">
        <v>57.63</v>
      </c>
    </row>
    <row r="42" spans="2:23" x14ac:dyDescent="0.3">
      <c r="D42" s="7">
        <v>0.625</v>
      </c>
      <c r="E42" t="s">
        <v>8</v>
      </c>
      <c r="F42">
        <v>28</v>
      </c>
      <c r="G42">
        <v>56</v>
      </c>
      <c r="H42">
        <v>29</v>
      </c>
      <c r="I42">
        <v>54</v>
      </c>
      <c r="J42">
        <v>28</v>
      </c>
      <c r="K42">
        <v>55</v>
      </c>
      <c r="L42">
        <v>27</v>
      </c>
      <c r="M42">
        <v>56</v>
      </c>
      <c r="N42">
        <v>29</v>
      </c>
      <c r="O42">
        <v>55</v>
      </c>
      <c r="P42">
        <v>28</v>
      </c>
      <c r="Q42">
        <v>54</v>
      </c>
      <c r="R42">
        <v>29</v>
      </c>
      <c r="S42">
        <v>53</v>
      </c>
      <c r="T42">
        <v>28</v>
      </c>
      <c r="U42">
        <v>55</v>
      </c>
      <c r="V42">
        <v>28.25</v>
      </c>
      <c r="W42">
        <v>54.75</v>
      </c>
    </row>
    <row r="43" spans="2:23" x14ac:dyDescent="0.3">
      <c r="B43">
        <v>4</v>
      </c>
      <c r="C43" s="6">
        <v>45895</v>
      </c>
      <c r="D43" s="7">
        <v>0.375</v>
      </c>
      <c r="E43" t="s">
        <v>8</v>
      </c>
      <c r="F43">
        <v>22</v>
      </c>
      <c r="G43">
        <v>65</v>
      </c>
      <c r="H43">
        <v>23</v>
      </c>
      <c r="I43">
        <v>64</v>
      </c>
      <c r="J43">
        <v>22</v>
      </c>
      <c r="K43">
        <v>63</v>
      </c>
      <c r="L43">
        <v>21</v>
      </c>
      <c r="M43">
        <v>64</v>
      </c>
      <c r="N43">
        <v>22</v>
      </c>
      <c r="O43">
        <v>65</v>
      </c>
      <c r="P43">
        <v>23</v>
      </c>
      <c r="Q43">
        <v>64</v>
      </c>
      <c r="R43">
        <v>22</v>
      </c>
      <c r="S43">
        <v>63</v>
      </c>
      <c r="T43">
        <v>23</v>
      </c>
      <c r="U43">
        <v>64</v>
      </c>
      <c r="V43">
        <v>22.25</v>
      </c>
      <c r="W43">
        <v>64</v>
      </c>
    </row>
    <row r="44" spans="2:23" x14ac:dyDescent="0.3">
      <c r="D44" s="7">
        <v>0.45833333333333331</v>
      </c>
      <c r="E44" t="s">
        <v>8</v>
      </c>
      <c r="F44">
        <v>24</v>
      </c>
      <c r="G44">
        <v>62</v>
      </c>
      <c r="H44">
        <v>25</v>
      </c>
      <c r="I44">
        <v>61</v>
      </c>
      <c r="J44">
        <v>24</v>
      </c>
      <c r="K44">
        <v>62</v>
      </c>
      <c r="L44">
        <v>25</v>
      </c>
      <c r="M44">
        <v>60</v>
      </c>
      <c r="N44">
        <v>26</v>
      </c>
      <c r="O44">
        <v>61</v>
      </c>
      <c r="P44">
        <v>25</v>
      </c>
      <c r="Q44">
        <v>62</v>
      </c>
      <c r="R44">
        <v>24</v>
      </c>
      <c r="S44">
        <v>61</v>
      </c>
      <c r="T44">
        <v>25</v>
      </c>
      <c r="U44">
        <v>60</v>
      </c>
      <c r="V44">
        <v>24.75</v>
      </c>
      <c r="W44">
        <v>61.13</v>
      </c>
    </row>
    <row r="45" spans="2:23" x14ac:dyDescent="0.3">
      <c r="D45" s="7">
        <v>0.54166666666666663</v>
      </c>
      <c r="E45" t="s">
        <v>8</v>
      </c>
      <c r="F45">
        <v>27</v>
      </c>
      <c r="G45">
        <v>59</v>
      </c>
      <c r="H45">
        <v>28</v>
      </c>
      <c r="I45">
        <v>58</v>
      </c>
      <c r="J45">
        <v>27</v>
      </c>
      <c r="K45">
        <v>57</v>
      </c>
      <c r="L45">
        <v>26</v>
      </c>
      <c r="M45">
        <v>58</v>
      </c>
      <c r="N45">
        <v>27</v>
      </c>
      <c r="O45">
        <v>57</v>
      </c>
      <c r="P45">
        <v>28</v>
      </c>
      <c r="Q45">
        <v>58</v>
      </c>
      <c r="R45">
        <v>27</v>
      </c>
      <c r="S45">
        <v>56</v>
      </c>
      <c r="T45">
        <v>26</v>
      </c>
      <c r="U45">
        <v>57</v>
      </c>
      <c r="V45">
        <v>27</v>
      </c>
      <c r="W45">
        <v>57.5</v>
      </c>
    </row>
    <row r="46" spans="2:23" x14ac:dyDescent="0.3">
      <c r="D46" s="7">
        <v>0.625</v>
      </c>
      <c r="E46" t="s">
        <v>8</v>
      </c>
      <c r="F46">
        <v>29</v>
      </c>
      <c r="G46">
        <v>55</v>
      </c>
      <c r="H46">
        <v>28</v>
      </c>
      <c r="I46">
        <v>56</v>
      </c>
      <c r="J46">
        <v>29</v>
      </c>
      <c r="K46">
        <v>54</v>
      </c>
      <c r="L46">
        <v>28</v>
      </c>
      <c r="M46">
        <v>55</v>
      </c>
      <c r="N46">
        <v>27</v>
      </c>
      <c r="O46">
        <v>54</v>
      </c>
      <c r="P46">
        <v>28</v>
      </c>
      <c r="Q46">
        <v>55</v>
      </c>
      <c r="R46">
        <v>29</v>
      </c>
      <c r="S46">
        <v>53</v>
      </c>
      <c r="T46">
        <v>28</v>
      </c>
      <c r="U46">
        <v>54</v>
      </c>
      <c r="V46">
        <v>28.25</v>
      </c>
      <c r="W46">
        <v>54.5</v>
      </c>
    </row>
    <row r="47" spans="2:23" x14ac:dyDescent="0.3">
      <c r="B47">
        <v>5</v>
      </c>
      <c r="C47" s="6">
        <v>45896</v>
      </c>
      <c r="D47" s="7">
        <v>0.375</v>
      </c>
      <c r="E47" t="s">
        <v>8</v>
      </c>
      <c r="F47">
        <v>22</v>
      </c>
      <c r="G47">
        <v>63</v>
      </c>
      <c r="H47">
        <v>23</v>
      </c>
      <c r="I47">
        <v>64</v>
      </c>
      <c r="J47">
        <v>22</v>
      </c>
      <c r="K47">
        <v>63</v>
      </c>
      <c r="L47">
        <v>21</v>
      </c>
      <c r="M47">
        <v>62</v>
      </c>
      <c r="N47">
        <v>22</v>
      </c>
      <c r="O47">
        <v>63</v>
      </c>
      <c r="P47">
        <v>23</v>
      </c>
      <c r="Q47">
        <v>64</v>
      </c>
      <c r="R47">
        <v>22</v>
      </c>
      <c r="S47">
        <v>63</v>
      </c>
      <c r="T47">
        <v>23</v>
      </c>
      <c r="U47">
        <v>64</v>
      </c>
      <c r="V47">
        <v>22.25</v>
      </c>
      <c r="W47">
        <v>63.25</v>
      </c>
    </row>
    <row r="48" spans="2:23" x14ac:dyDescent="0.3">
      <c r="D48" s="7">
        <v>0.45833333333333331</v>
      </c>
      <c r="E48" t="s">
        <v>8</v>
      </c>
      <c r="F48">
        <v>24</v>
      </c>
      <c r="G48">
        <v>60</v>
      </c>
      <c r="H48">
        <v>25</v>
      </c>
      <c r="I48">
        <v>61</v>
      </c>
      <c r="J48">
        <v>24</v>
      </c>
      <c r="K48">
        <v>60</v>
      </c>
      <c r="L48">
        <v>23</v>
      </c>
      <c r="M48">
        <v>59</v>
      </c>
      <c r="N48">
        <v>25</v>
      </c>
      <c r="O48">
        <v>60</v>
      </c>
      <c r="P48">
        <v>24</v>
      </c>
      <c r="Q48">
        <v>61</v>
      </c>
      <c r="R48">
        <v>25</v>
      </c>
      <c r="S48">
        <v>60</v>
      </c>
      <c r="T48">
        <v>24</v>
      </c>
      <c r="U48">
        <v>61</v>
      </c>
      <c r="V48">
        <v>24.25</v>
      </c>
      <c r="W48">
        <v>60.25</v>
      </c>
    </row>
    <row r="49" spans="2:23" x14ac:dyDescent="0.3">
      <c r="D49" s="7">
        <v>0.54166666666666663</v>
      </c>
      <c r="E49" t="s">
        <v>8</v>
      </c>
      <c r="F49">
        <v>26</v>
      </c>
      <c r="G49">
        <v>56</v>
      </c>
      <c r="H49">
        <v>27</v>
      </c>
      <c r="I49">
        <v>57</v>
      </c>
      <c r="J49">
        <v>26</v>
      </c>
      <c r="K49">
        <v>58</v>
      </c>
      <c r="L49">
        <v>27</v>
      </c>
      <c r="M49">
        <v>57</v>
      </c>
      <c r="N49">
        <v>26</v>
      </c>
      <c r="O49">
        <v>56</v>
      </c>
      <c r="P49">
        <v>27</v>
      </c>
      <c r="Q49">
        <v>57</v>
      </c>
      <c r="R49">
        <v>26</v>
      </c>
      <c r="S49">
        <v>56</v>
      </c>
      <c r="T49">
        <v>27</v>
      </c>
      <c r="U49">
        <v>58</v>
      </c>
      <c r="V49">
        <v>26.5</v>
      </c>
      <c r="W49">
        <v>56.88</v>
      </c>
    </row>
    <row r="50" spans="2:23" x14ac:dyDescent="0.3">
      <c r="D50" s="7">
        <v>0.625</v>
      </c>
      <c r="E50" t="s">
        <v>8</v>
      </c>
      <c r="F50">
        <v>28</v>
      </c>
      <c r="G50">
        <v>54</v>
      </c>
      <c r="H50">
        <v>29</v>
      </c>
      <c r="I50">
        <v>53</v>
      </c>
      <c r="J50">
        <v>28</v>
      </c>
      <c r="K50">
        <v>55</v>
      </c>
      <c r="L50">
        <v>27</v>
      </c>
      <c r="M50">
        <v>54</v>
      </c>
      <c r="N50">
        <v>28</v>
      </c>
      <c r="O50">
        <v>53</v>
      </c>
      <c r="P50">
        <v>27</v>
      </c>
      <c r="Q50">
        <v>54</v>
      </c>
      <c r="R50">
        <v>29</v>
      </c>
      <c r="S50">
        <v>52</v>
      </c>
      <c r="T50">
        <v>28</v>
      </c>
      <c r="U50">
        <v>54</v>
      </c>
      <c r="V50">
        <v>28</v>
      </c>
      <c r="W50">
        <v>53.63</v>
      </c>
    </row>
    <row r="54" spans="2:23" ht="15.6" x14ac:dyDescent="0.3">
      <c r="B54" s="29" t="s">
        <v>0</v>
      </c>
      <c r="C54" s="29" t="s">
        <v>1</v>
      </c>
      <c r="D54" s="29" t="s">
        <v>2</v>
      </c>
      <c r="E54" s="29" t="s">
        <v>3</v>
      </c>
      <c r="F54" s="29" t="s">
        <v>4</v>
      </c>
      <c r="G54" s="29" t="s">
        <v>5</v>
      </c>
      <c r="H54" t="s">
        <v>13</v>
      </c>
      <c r="I54" t="s">
        <v>14</v>
      </c>
      <c r="J54" t="s">
        <v>15</v>
      </c>
      <c r="K54" t="s">
        <v>16</v>
      </c>
      <c r="L54" t="s">
        <v>17</v>
      </c>
      <c r="M54" t="s">
        <v>18</v>
      </c>
      <c r="N54" t="s">
        <v>19</v>
      </c>
      <c r="O54" t="s">
        <v>20</v>
      </c>
      <c r="P54" t="s">
        <v>21</v>
      </c>
      <c r="Q54" t="s">
        <v>22</v>
      </c>
      <c r="R54" t="s">
        <v>23</v>
      </c>
      <c r="S54" t="s">
        <v>24</v>
      </c>
      <c r="T54" t="s">
        <v>25</v>
      </c>
      <c r="U54" t="s">
        <v>26</v>
      </c>
      <c r="V54" t="s">
        <v>27</v>
      </c>
      <c r="W54" t="s">
        <v>28</v>
      </c>
    </row>
    <row r="55" spans="2:23" ht="15.6" x14ac:dyDescent="0.3">
      <c r="F55" s="29">
        <v>1</v>
      </c>
      <c r="G55" s="29">
        <v>2</v>
      </c>
      <c r="H55" s="29">
        <v>3</v>
      </c>
      <c r="I55" s="29">
        <v>4</v>
      </c>
      <c r="J55" s="29">
        <v>5</v>
      </c>
      <c r="K55" s="29">
        <v>6</v>
      </c>
      <c r="L55" s="29">
        <v>7</v>
      </c>
      <c r="M55" s="29">
        <v>8</v>
      </c>
    </row>
    <row r="56" spans="2:23" ht="15.6" x14ac:dyDescent="0.3">
      <c r="F56" s="29" t="s">
        <v>6</v>
      </c>
      <c r="G56" s="29" t="s">
        <v>7</v>
      </c>
      <c r="H56" s="29" t="s">
        <v>6</v>
      </c>
      <c r="I56" s="29" t="s">
        <v>7</v>
      </c>
      <c r="J56" s="29" t="s">
        <v>6</v>
      </c>
      <c r="K56" s="29" t="s">
        <v>7</v>
      </c>
      <c r="L56" s="29" t="s">
        <v>6</v>
      </c>
      <c r="M56" s="29" t="s">
        <v>7</v>
      </c>
      <c r="N56" s="29" t="s">
        <v>6</v>
      </c>
      <c r="O56" s="29" t="s">
        <v>7</v>
      </c>
      <c r="P56" s="29" t="s">
        <v>6</v>
      </c>
      <c r="Q56" s="29" t="s">
        <v>7</v>
      </c>
      <c r="R56" s="29" t="s">
        <v>6</v>
      </c>
      <c r="S56" s="29" t="s">
        <v>7</v>
      </c>
      <c r="T56" s="29" t="s">
        <v>6</v>
      </c>
      <c r="U56" s="29" t="s">
        <v>7</v>
      </c>
      <c r="V56" s="29" t="s">
        <v>6</v>
      </c>
      <c r="W56" s="29" t="s">
        <v>7</v>
      </c>
    </row>
    <row r="57" spans="2:23" ht="15.6" x14ac:dyDescent="0.3">
      <c r="B57" s="29">
        <v>1</v>
      </c>
      <c r="C57" s="30">
        <v>45892</v>
      </c>
      <c r="D57" s="31">
        <v>0.375</v>
      </c>
      <c r="E57" s="29" t="s">
        <v>8</v>
      </c>
      <c r="F57" s="29">
        <v>23</v>
      </c>
      <c r="G57" s="29">
        <v>63</v>
      </c>
      <c r="H57" s="29">
        <v>22</v>
      </c>
      <c r="I57" s="29">
        <v>64</v>
      </c>
      <c r="J57" s="29">
        <v>23</v>
      </c>
      <c r="K57" s="29">
        <v>62</v>
      </c>
      <c r="L57" s="29">
        <v>22</v>
      </c>
      <c r="M57" s="29">
        <v>65</v>
      </c>
      <c r="N57" s="29">
        <v>21</v>
      </c>
      <c r="O57" s="29">
        <v>64</v>
      </c>
      <c r="P57" s="29">
        <v>22</v>
      </c>
      <c r="Q57" s="29">
        <v>63</v>
      </c>
      <c r="R57" s="29">
        <v>23</v>
      </c>
      <c r="S57" s="29">
        <v>64</v>
      </c>
      <c r="T57" s="29">
        <v>22</v>
      </c>
      <c r="U57" s="29">
        <v>62</v>
      </c>
      <c r="V57" s="29">
        <v>22.25</v>
      </c>
      <c r="W57" s="29">
        <v>63.38</v>
      </c>
    </row>
    <row r="58" spans="2:23" ht="15.6" x14ac:dyDescent="0.3">
      <c r="D58" s="31">
        <v>0.45833333333333331</v>
      </c>
      <c r="E58" s="29" t="s">
        <v>8</v>
      </c>
      <c r="F58" s="29">
        <v>25</v>
      </c>
      <c r="G58" s="29">
        <v>60</v>
      </c>
      <c r="H58" s="29">
        <v>26</v>
      </c>
      <c r="I58" s="29">
        <v>61</v>
      </c>
      <c r="J58" s="29">
        <v>24</v>
      </c>
      <c r="K58" s="29">
        <v>62</v>
      </c>
      <c r="L58" s="29">
        <v>25</v>
      </c>
      <c r="M58" s="29">
        <v>60</v>
      </c>
      <c r="N58" s="29">
        <v>25</v>
      </c>
      <c r="O58" s="29">
        <v>61</v>
      </c>
      <c r="P58" s="29">
        <v>24</v>
      </c>
      <c r="Q58" s="29">
        <v>62</v>
      </c>
      <c r="R58" s="29">
        <v>26</v>
      </c>
      <c r="S58" s="29">
        <v>60</v>
      </c>
      <c r="T58" s="29">
        <v>25</v>
      </c>
      <c r="U58" s="29">
        <v>61</v>
      </c>
      <c r="V58" s="29">
        <v>25</v>
      </c>
      <c r="W58" s="29">
        <v>60.88</v>
      </c>
    </row>
    <row r="59" spans="2:23" ht="15.6" x14ac:dyDescent="0.3">
      <c r="D59" s="31">
        <v>0.54166666666666663</v>
      </c>
      <c r="E59" s="29" t="s">
        <v>8</v>
      </c>
      <c r="F59" s="29">
        <v>27</v>
      </c>
      <c r="G59" s="29">
        <v>58</v>
      </c>
      <c r="H59" s="29">
        <v>28</v>
      </c>
      <c r="I59" s="29">
        <v>59</v>
      </c>
      <c r="J59" s="29">
        <v>27</v>
      </c>
      <c r="K59" s="29">
        <v>57</v>
      </c>
      <c r="L59" s="29">
        <v>26</v>
      </c>
      <c r="M59" s="29">
        <v>58</v>
      </c>
      <c r="N59" s="29">
        <v>26</v>
      </c>
      <c r="O59" s="29">
        <v>57</v>
      </c>
      <c r="P59" s="29">
        <v>27</v>
      </c>
      <c r="Q59" s="29">
        <v>58</v>
      </c>
      <c r="R59" s="29">
        <v>26</v>
      </c>
      <c r="S59" s="29">
        <v>57</v>
      </c>
      <c r="T59" s="29">
        <v>27</v>
      </c>
      <c r="U59" s="29">
        <v>56</v>
      </c>
      <c r="V59" s="29">
        <v>26.75</v>
      </c>
      <c r="W59" s="29">
        <v>57.5</v>
      </c>
    </row>
    <row r="60" spans="2:23" ht="15.6" x14ac:dyDescent="0.3">
      <c r="D60" s="31">
        <v>0.625</v>
      </c>
      <c r="E60" s="29" t="s">
        <v>8</v>
      </c>
      <c r="F60" s="29">
        <v>29</v>
      </c>
      <c r="G60" s="29">
        <v>55</v>
      </c>
      <c r="H60" s="29">
        <v>28</v>
      </c>
      <c r="I60" s="29">
        <v>56</v>
      </c>
      <c r="J60" s="29">
        <v>29</v>
      </c>
      <c r="K60" s="29">
        <v>54</v>
      </c>
      <c r="L60" s="29">
        <v>28</v>
      </c>
      <c r="M60" s="29">
        <v>55</v>
      </c>
      <c r="N60" s="29">
        <v>27</v>
      </c>
      <c r="O60" s="29">
        <v>54</v>
      </c>
      <c r="P60" s="29">
        <v>28</v>
      </c>
      <c r="Q60" s="29">
        <v>55</v>
      </c>
      <c r="R60" s="29">
        <v>28</v>
      </c>
      <c r="S60" s="29">
        <v>53</v>
      </c>
      <c r="T60" s="29">
        <v>29</v>
      </c>
      <c r="U60" s="29">
        <v>54</v>
      </c>
      <c r="V60" s="29">
        <v>28.25</v>
      </c>
      <c r="W60" s="29">
        <v>54.5</v>
      </c>
    </row>
    <row r="61" spans="2:23" ht="15.6" x14ac:dyDescent="0.3">
      <c r="B61" s="29">
        <v>2</v>
      </c>
      <c r="C61" s="30">
        <v>45893</v>
      </c>
      <c r="D61" s="31">
        <v>0.375</v>
      </c>
      <c r="E61" s="29" t="s">
        <v>8</v>
      </c>
      <c r="F61" s="29">
        <v>22</v>
      </c>
      <c r="G61" s="29">
        <v>64</v>
      </c>
      <c r="H61" s="29">
        <v>23</v>
      </c>
      <c r="I61" s="29">
        <v>65</v>
      </c>
      <c r="J61" s="29">
        <v>22</v>
      </c>
      <c r="K61" s="29">
        <v>64</v>
      </c>
      <c r="L61" s="29">
        <v>23</v>
      </c>
      <c r="M61" s="29">
        <v>63</v>
      </c>
      <c r="N61" s="29">
        <v>22</v>
      </c>
      <c r="O61" s="29">
        <v>65</v>
      </c>
      <c r="P61" s="29">
        <v>24</v>
      </c>
      <c r="Q61" s="29">
        <v>64</v>
      </c>
      <c r="R61" s="29">
        <v>23</v>
      </c>
      <c r="S61" s="29">
        <v>66</v>
      </c>
      <c r="T61" s="29">
        <v>22</v>
      </c>
      <c r="U61" s="29">
        <v>64</v>
      </c>
      <c r="V61" s="29">
        <v>22.63</v>
      </c>
      <c r="W61" s="29">
        <v>64.38</v>
      </c>
    </row>
    <row r="62" spans="2:23" ht="15.6" x14ac:dyDescent="0.3">
      <c r="D62" s="31">
        <v>0.45833333333333331</v>
      </c>
      <c r="E62" s="29" t="s">
        <v>8</v>
      </c>
      <c r="F62" s="29">
        <v>24</v>
      </c>
      <c r="G62" s="29">
        <v>61</v>
      </c>
      <c r="H62" s="29">
        <v>25</v>
      </c>
      <c r="I62" s="29">
        <v>60</v>
      </c>
      <c r="J62" s="29">
        <v>24</v>
      </c>
      <c r="K62" s="29">
        <v>62</v>
      </c>
      <c r="L62" s="29">
        <v>25</v>
      </c>
      <c r="M62" s="29">
        <v>61</v>
      </c>
      <c r="N62" s="29">
        <v>26</v>
      </c>
      <c r="O62" s="29">
        <v>60</v>
      </c>
      <c r="P62" s="29">
        <v>25</v>
      </c>
      <c r="Q62" s="29">
        <v>61</v>
      </c>
      <c r="R62" s="29">
        <v>24</v>
      </c>
      <c r="S62" s="29">
        <v>62</v>
      </c>
      <c r="T62" s="29">
        <v>25</v>
      </c>
      <c r="U62" s="29">
        <v>60</v>
      </c>
      <c r="V62" s="29">
        <v>24.75</v>
      </c>
      <c r="W62" s="29">
        <v>60.88</v>
      </c>
    </row>
    <row r="63" spans="2:23" ht="15.6" x14ac:dyDescent="0.3">
      <c r="D63" s="31">
        <v>0.54166666666666663</v>
      </c>
      <c r="E63" s="29" t="s">
        <v>8</v>
      </c>
      <c r="F63" s="29">
        <v>27</v>
      </c>
      <c r="G63" s="29">
        <v>58</v>
      </c>
      <c r="H63" s="29">
        <v>26</v>
      </c>
      <c r="I63" s="29">
        <v>59</v>
      </c>
      <c r="J63" s="29">
        <v>27</v>
      </c>
      <c r="K63" s="29">
        <v>57</v>
      </c>
      <c r="L63" s="29">
        <v>26</v>
      </c>
      <c r="M63" s="29">
        <v>58</v>
      </c>
      <c r="N63" s="29">
        <v>27</v>
      </c>
      <c r="O63" s="29">
        <v>57</v>
      </c>
      <c r="P63" s="29">
        <v>26</v>
      </c>
      <c r="Q63" s="29">
        <v>58</v>
      </c>
      <c r="R63" s="29">
        <v>27</v>
      </c>
      <c r="S63" s="29">
        <v>56</v>
      </c>
      <c r="T63" s="29">
        <v>26</v>
      </c>
      <c r="U63" s="29">
        <v>58</v>
      </c>
      <c r="V63" s="29">
        <v>26.5</v>
      </c>
      <c r="W63" s="29">
        <v>57.63</v>
      </c>
    </row>
    <row r="64" spans="2:23" ht="15.6" x14ac:dyDescent="0.3">
      <c r="D64" s="31">
        <v>0.625</v>
      </c>
      <c r="E64" s="29" t="s">
        <v>8</v>
      </c>
      <c r="F64" s="29">
        <v>29</v>
      </c>
      <c r="G64" s="29">
        <v>54</v>
      </c>
      <c r="H64" s="29">
        <v>28</v>
      </c>
      <c r="I64" s="29">
        <v>55</v>
      </c>
      <c r="J64" s="29">
        <v>27</v>
      </c>
      <c r="K64" s="29">
        <v>56</v>
      </c>
      <c r="L64" s="29">
        <v>28</v>
      </c>
      <c r="M64" s="29">
        <v>54</v>
      </c>
      <c r="N64" s="29">
        <v>29</v>
      </c>
      <c r="O64" s="29">
        <v>53</v>
      </c>
      <c r="P64" s="29">
        <v>28</v>
      </c>
      <c r="Q64" s="29">
        <v>54</v>
      </c>
      <c r="R64" s="29">
        <v>29</v>
      </c>
      <c r="S64" s="29">
        <v>55</v>
      </c>
      <c r="T64" s="29">
        <v>28</v>
      </c>
      <c r="U64" s="29">
        <v>54</v>
      </c>
      <c r="V64" s="29">
        <v>28.25</v>
      </c>
      <c r="W64" s="29">
        <v>54.38</v>
      </c>
    </row>
    <row r="65" spans="2:23" ht="15.6" x14ac:dyDescent="0.3">
      <c r="B65" s="29">
        <v>3</v>
      </c>
      <c r="C65" s="30">
        <v>45163</v>
      </c>
      <c r="D65" s="31">
        <v>0.375</v>
      </c>
      <c r="E65" s="29" t="s">
        <v>8</v>
      </c>
      <c r="F65" s="29">
        <v>23</v>
      </c>
      <c r="G65" s="29">
        <v>64</v>
      </c>
      <c r="H65" s="29">
        <v>22</v>
      </c>
      <c r="I65" s="29">
        <v>63</v>
      </c>
      <c r="J65" s="29">
        <v>23</v>
      </c>
      <c r="K65" s="29">
        <v>65</v>
      </c>
      <c r="L65" s="29">
        <v>22</v>
      </c>
      <c r="M65" s="29">
        <v>64</v>
      </c>
      <c r="N65" s="29">
        <v>21</v>
      </c>
      <c r="O65" s="29">
        <v>66</v>
      </c>
      <c r="P65" s="29">
        <v>23</v>
      </c>
      <c r="Q65" s="29">
        <v>64</v>
      </c>
      <c r="R65" s="29">
        <v>22</v>
      </c>
      <c r="S65" s="29">
        <v>65</v>
      </c>
      <c r="T65" s="29">
        <v>22</v>
      </c>
      <c r="U65" s="29">
        <v>63</v>
      </c>
      <c r="V65" s="29">
        <v>22.25</v>
      </c>
      <c r="W65" s="29">
        <v>64.25</v>
      </c>
    </row>
    <row r="66" spans="2:23" ht="15.6" x14ac:dyDescent="0.3">
      <c r="D66" s="31">
        <v>0.45833333333333331</v>
      </c>
      <c r="E66" s="29" t="s">
        <v>8</v>
      </c>
      <c r="F66" s="29">
        <v>25</v>
      </c>
      <c r="G66" s="29">
        <v>61</v>
      </c>
      <c r="H66" s="29">
        <v>26</v>
      </c>
      <c r="I66" s="29">
        <v>62</v>
      </c>
      <c r="J66" s="29">
        <v>25</v>
      </c>
      <c r="K66" s="29">
        <v>63</v>
      </c>
      <c r="L66" s="29">
        <v>26</v>
      </c>
      <c r="M66" s="29">
        <v>62</v>
      </c>
      <c r="N66" s="29">
        <v>25</v>
      </c>
      <c r="O66" s="29">
        <v>63</v>
      </c>
      <c r="P66" s="29">
        <v>24</v>
      </c>
      <c r="Q66" s="29">
        <v>61</v>
      </c>
      <c r="R66" s="29">
        <v>26</v>
      </c>
      <c r="S66" s="29">
        <v>62</v>
      </c>
      <c r="T66" s="29">
        <v>25</v>
      </c>
      <c r="U66" s="29">
        <v>61</v>
      </c>
      <c r="V66" s="29">
        <v>25.25</v>
      </c>
      <c r="W66" s="29">
        <v>61.88</v>
      </c>
    </row>
    <row r="67" spans="2:23" ht="15.6" x14ac:dyDescent="0.3">
      <c r="D67" s="31">
        <v>0.54166666666666663</v>
      </c>
      <c r="E67" s="29" t="s">
        <v>8</v>
      </c>
      <c r="F67" s="29">
        <v>27</v>
      </c>
      <c r="G67" s="29">
        <v>57</v>
      </c>
      <c r="H67" s="29">
        <v>26</v>
      </c>
      <c r="I67" s="29">
        <v>58</v>
      </c>
      <c r="J67" s="29">
        <v>27</v>
      </c>
      <c r="K67" s="29">
        <v>59</v>
      </c>
      <c r="L67" s="29">
        <v>26</v>
      </c>
      <c r="M67" s="29">
        <v>57</v>
      </c>
      <c r="N67" s="29">
        <v>27</v>
      </c>
      <c r="O67" s="29">
        <v>58</v>
      </c>
      <c r="P67" s="29">
        <v>26</v>
      </c>
      <c r="Q67" s="29">
        <v>57</v>
      </c>
      <c r="R67" s="29">
        <v>27</v>
      </c>
      <c r="S67" s="29">
        <v>58</v>
      </c>
      <c r="T67" s="29">
        <v>26</v>
      </c>
      <c r="U67" s="29">
        <v>57</v>
      </c>
      <c r="V67" s="29">
        <v>26.5</v>
      </c>
      <c r="W67" s="29">
        <v>57.63</v>
      </c>
    </row>
    <row r="68" spans="2:23" ht="15.6" x14ac:dyDescent="0.3">
      <c r="D68" s="31">
        <v>0.625</v>
      </c>
      <c r="E68" s="29" t="s">
        <v>8</v>
      </c>
      <c r="F68" s="29">
        <v>28</v>
      </c>
      <c r="G68" s="29">
        <v>56</v>
      </c>
      <c r="H68" s="29">
        <v>29</v>
      </c>
      <c r="I68" s="29">
        <v>54</v>
      </c>
      <c r="J68" s="29">
        <v>28</v>
      </c>
      <c r="K68" s="29">
        <v>55</v>
      </c>
      <c r="L68" s="29">
        <v>27</v>
      </c>
      <c r="M68" s="29">
        <v>56</v>
      </c>
      <c r="N68" s="29">
        <v>29</v>
      </c>
      <c r="O68" s="29">
        <v>55</v>
      </c>
      <c r="P68" s="29">
        <v>28</v>
      </c>
      <c r="Q68" s="29">
        <v>54</v>
      </c>
      <c r="R68" s="29">
        <v>29</v>
      </c>
      <c r="S68" s="29">
        <v>53</v>
      </c>
      <c r="T68" s="29">
        <v>28</v>
      </c>
      <c r="U68" s="29">
        <v>55</v>
      </c>
      <c r="V68" s="29">
        <v>28.25</v>
      </c>
      <c r="W68" s="29">
        <v>54.75</v>
      </c>
    </row>
    <row r="69" spans="2:23" ht="15.6" x14ac:dyDescent="0.3">
      <c r="B69" s="29">
        <v>4</v>
      </c>
      <c r="C69" s="30">
        <v>44952</v>
      </c>
      <c r="D69" s="31">
        <v>0.375</v>
      </c>
      <c r="E69" s="29" t="s">
        <v>8</v>
      </c>
      <c r="F69" s="29">
        <v>22</v>
      </c>
      <c r="G69" s="29">
        <v>65</v>
      </c>
      <c r="H69" s="29">
        <v>23</v>
      </c>
      <c r="I69" s="29">
        <v>64</v>
      </c>
      <c r="J69" s="29">
        <v>22</v>
      </c>
      <c r="K69" s="29">
        <v>63</v>
      </c>
      <c r="L69" s="29">
        <v>21</v>
      </c>
      <c r="M69" s="29">
        <v>64</v>
      </c>
      <c r="N69" s="29">
        <v>22</v>
      </c>
      <c r="O69" s="29">
        <v>65</v>
      </c>
      <c r="P69" s="29">
        <v>23</v>
      </c>
      <c r="Q69" s="29">
        <v>64</v>
      </c>
      <c r="R69" s="29">
        <v>22</v>
      </c>
      <c r="S69" s="29">
        <v>63</v>
      </c>
      <c r="T69" s="29">
        <v>23</v>
      </c>
      <c r="U69" s="29">
        <v>64</v>
      </c>
      <c r="V69" s="29">
        <v>22.25</v>
      </c>
      <c r="W69" s="29">
        <v>64</v>
      </c>
    </row>
    <row r="70" spans="2:23" ht="15.6" x14ac:dyDescent="0.3">
      <c r="D70" s="31">
        <v>0.45833333333333331</v>
      </c>
      <c r="E70" s="29" t="s">
        <v>8</v>
      </c>
      <c r="F70" s="29">
        <v>24</v>
      </c>
      <c r="G70" s="29">
        <v>62</v>
      </c>
      <c r="H70" s="29">
        <v>25</v>
      </c>
      <c r="I70" s="29">
        <v>61</v>
      </c>
      <c r="J70" s="29">
        <v>24</v>
      </c>
      <c r="K70" s="29">
        <v>62</v>
      </c>
      <c r="L70" s="29">
        <v>25</v>
      </c>
      <c r="M70" s="29">
        <v>60</v>
      </c>
      <c r="N70" s="29">
        <v>26</v>
      </c>
      <c r="O70" s="29">
        <v>61</v>
      </c>
      <c r="P70" s="29">
        <v>25</v>
      </c>
      <c r="Q70" s="29">
        <v>62</v>
      </c>
      <c r="R70" s="29">
        <v>24</v>
      </c>
      <c r="S70" s="29">
        <v>61</v>
      </c>
      <c r="T70" s="29">
        <v>25</v>
      </c>
      <c r="U70" s="29">
        <v>60</v>
      </c>
      <c r="V70" s="29">
        <v>24.75</v>
      </c>
      <c r="W70" s="29">
        <v>61.13</v>
      </c>
    </row>
    <row r="71" spans="2:23" ht="15.6" x14ac:dyDescent="0.3">
      <c r="D71" s="31">
        <v>0.54166666666666663</v>
      </c>
      <c r="E71" s="29" t="s">
        <v>8</v>
      </c>
      <c r="F71" s="29">
        <v>27</v>
      </c>
      <c r="G71" s="29">
        <v>59</v>
      </c>
      <c r="H71" s="29">
        <v>28</v>
      </c>
      <c r="I71" s="29">
        <v>58</v>
      </c>
      <c r="J71" s="29">
        <v>27</v>
      </c>
      <c r="K71" s="29">
        <v>57</v>
      </c>
      <c r="L71" s="29">
        <v>26</v>
      </c>
      <c r="M71" s="29">
        <v>58</v>
      </c>
      <c r="N71" s="29">
        <v>27</v>
      </c>
      <c r="O71" s="29">
        <v>57</v>
      </c>
      <c r="P71" s="29">
        <v>28</v>
      </c>
      <c r="Q71" s="29">
        <v>58</v>
      </c>
      <c r="R71" s="29">
        <v>27</v>
      </c>
      <c r="S71" s="29">
        <v>56</v>
      </c>
      <c r="T71" s="29">
        <v>26</v>
      </c>
      <c r="U71" s="29">
        <v>57</v>
      </c>
      <c r="V71" s="29">
        <v>27</v>
      </c>
      <c r="W71" s="29">
        <v>57.5</v>
      </c>
    </row>
    <row r="72" spans="2:23" ht="15.6" x14ac:dyDescent="0.3">
      <c r="D72" s="31">
        <v>0.625</v>
      </c>
      <c r="E72" s="29" t="s">
        <v>8</v>
      </c>
      <c r="F72" s="29">
        <v>29</v>
      </c>
      <c r="G72" s="29">
        <v>55</v>
      </c>
      <c r="H72" s="29">
        <v>28</v>
      </c>
      <c r="I72" s="29">
        <v>56</v>
      </c>
      <c r="J72" s="29">
        <v>29</v>
      </c>
      <c r="K72" s="29">
        <v>54</v>
      </c>
      <c r="L72" s="29">
        <v>28</v>
      </c>
      <c r="M72" s="29">
        <v>55</v>
      </c>
      <c r="N72" s="29">
        <v>27</v>
      </c>
      <c r="O72" s="29">
        <v>54</v>
      </c>
      <c r="P72" s="29">
        <v>28</v>
      </c>
      <c r="Q72" s="29">
        <v>55</v>
      </c>
      <c r="R72" s="29">
        <v>29</v>
      </c>
      <c r="S72" s="29">
        <v>53</v>
      </c>
      <c r="T72" s="29">
        <v>28</v>
      </c>
      <c r="U72" s="29">
        <v>54</v>
      </c>
      <c r="V72" s="29">
        <v>28.25</v>
      </c>
      <c r="W72" s="29">
        <v>54.5</v>
      </c>
    </row>
    <row r="73" spans="2:23" ht="15.6" x14ac:dyDescent="0.3">
      <c r="B73" s="29">
        <v>5</v>
      </c>
      <c r="C73" s="30">
        <v>44953</v>
      </c>
      <c r="D73" s="31">
        <v>0.375</v>
      </c>
      <c r="E73" s="29" t="s">
        <v>8</v>
      </c>
      <c r="F73" s="29">
        <v>22</v>
      </c>
      <c r="G73" s="29">
        <v>63</v>
      </c>
      <c r="H73" s="29">
        <v>23</v>
      </c>
      <c r="I73" s="29">
        <v>64</v>
      </c>
      <c r="J73" s="29">
        <v>22</v>
      </c>
      <c r="K73" s="29">
        <v>63</v>
      </c>
      <c r="L73" s="29">
        <v>21</v>
      </c>
      <c r="M73" s="29">
        <v>62</v>
      </c>
      <c r="N73" s="29">
        <v>22</v>
      </c>
      <c r="O73" s="29">
        <v>63</v>
      </c>
      <c r="P73" s="29">
        <v>23</v>
      </c>
      <c r="Q73" s="29">
        <v>64</v>
      </c>
      <c r="R73" s="29">
        <v>22</v>
      </c>
      <c r="S73" s="29">
        <v>63</v>
      </c>
      <c r="T73" s="29">
        <v>23</v>
      </c>
      <c r="U73" s="29">
        <v>64</v>
      </c>
      <c r="V73" s="29">
        <v>22.25</v>
      </c>
      <c r="W73" s="29">
        <v>63.25</v>
      </c>
    </row>
    <row r="74" spans="2:23" ht="15.6" x14ac:dyDescent="0.3">
      <c r="D74" s="31">
        <v>0.45833333333333331</v>
      </c>
      <c r="E74" s="29" t="s">
        <v>8</v>
      </c>
      <c r="F74" s="29">
        <v>24</v>
      </c>
      <c r="G74" s="29">
        <v>60</v>
      </c>
      <c r="H74" s="29">
        <v>25</v>
      </c>
      <c r="I74" s="29">
        <v>61</v>
      </c>
      <c r="J74" s="29">
        <v>24</v>
      </c>
      <c r="K74" s="29">
        <v>60</v>
      </c>
      <c r="L74" s="29">
        <v>23</v>
      </c>
      <c r="M74" s="29">
        <v>59</v>
      </c>
      <c r="N74" s="29">
        <v>25</v>
      </c>
      <c r="O74" s="29">
        <v>60</v>
      </c>
      <c r="P74" s="29">
        <v>24</v>
      </c>
      <c r="Q74" s="29">
        <v>61</v>
      </c>
      <c r="R74" s="29">
        <v>25</v>
      </c>
      <c r="S74" s="29">
        <v>60</v>
      </c>
      <c r="T74" s="29">
        <v>24</v>
      </c>
      <c r="U74" s="29">
        <v>61</v>
      </c>
      <c r="V74" s="29">
        <v>24.25</v>
      </c>
      <c r="W74" s="29">
        <v>60.25</v>
      </c>
    </row>
    <row r="75" spans="2:23" ht="15.6" x14ac:dyDescent="0.3">
      <c r="D75" s="31">
        <v>0.54166666666666663</v>
      </c>
      <c r="E75" s="29" t="s">
        <v>8</v>
      </c>
      <c r="F75" s="29">
        <v>26</v>
      </c>
      <c r="G75" s="29">
        <v>56</v>
      </c>
      <c r="H75" s="29">
        <v>27</v>
      </c>
      <c r="I75" s="29">
        <v>57</v>
      </c>
      <c r="J75" s="29">
        <v>26</v>
      </c>
      <c r="K75" s="29">
        <v>58</v>
      </c>
      <c r="L75" s="29">
        <v>27</v>
      </c>
      <c r="M75" s="29">
        <v>57</v>
      </c>
      <c r="N75" s="29">
        <v>26</v>
      </c>
      <c r="O75" s="29">
        <v>56</v>
      </c>
      <c r="P75" s="29">
        <v>27</v>
      </c>
      <c r="Q75" s="29">
        <v>57</v>
      </c>
      <c r="R75" s="29">
        <v>26</v>
      </c>
      <c r="S75" s="29">
        <v>56</v>
      </c>
      <c r="T75" s="29">
        <v>27</v>
      </c>
      <c r="U75" s="29">
        <v>58</v>
      </c>
      <c r="V75" s="29">
        <v>26.5</v>
      </c>
      <c r="W75" s="29">
        <v>56.88</v>
      </c>
    </row>
    <row r="76" spans="2:23" ht="15.6" x14ac:dyDescent="0.3">
      <c r="D76" s="31">
        <v>0.625</v>
      </c>
      <c r="E76" s="29" t="s">
        <v>8</v>
      </c>
      <c r="F76" s="29">
        <v>28</v>
      </c>
      <c r="G76" s="29">
        <v>54</v>
      </c>
      <c r="H76" s="29">
        <v>29</v>
      </c>
      <c r="I76" s="29">
        <v>53</v>
      </c>
      <c r="J76" s="29">
        <v>28</v>
      </c>
      <c r="K76" s="29">
        <v>55</v>
      </c>
      <c r="L76" s="29">
        <v>27</v>
      </c>
      <c r="M76" s="29">
        <v>54</v>
      </c>
      <c r="N76" s="29">
        <v>28</v>
      </c>
      <c r="O76" s="29">
        <v>53</v>
      </c>
      <c r="P76" s="29">
        <v>27</v>
      </c>
      <c r="Q76" s="29">
        <v>54</v>
      </c>
      <c r="R76" s="29">
        <v>29</v>
      </c>
      <c r="S76" s="29">
        <v>52</v>
      </c>
      <c r="T76" s="29">
        <v>28</v>
      </c>
      <c r="U76" s="29">
        <v>54</v>
      </c>
      <c r="V76" s="29">
        <v>28</v>
      </c>
      <c r="W76" s="29">
        <v>53.63</v>
      </c>
    </row>
    <row r="77" spans="2:23" ht="15.6" x14ac:dyDescent="0.3">
      <c r="B77" s="29">
        <v>6</v>
      </c>
      <c r="C77" s="30">
        <v>44954</v>
      </c>
      <c r="D77" s="31">
        <v>0.375</v>
      </c>
      <c r="E77" s="29" t="s">
        <v>8</v>
      </c>
      <c r="F77" s="29">
        <v>22</v>
      </c>
      <c r="G77" s="29">
        <v>64</v>
      </c>
      <c r="H77" s="29">
        <v>21</v>
      </c>
      <c r="I77" s="29">
        <v>63</v>
      </c>
      <c r="J77" s="29">
        <v>22</v>
      </c>
      <c r="K77" s="29">
        <v>63</v>
      </c>
      <c r="L77" s="29">
        <v>23</v>
      </c>
      <c r="M77" s="29">
        <v>62</v>
      </c>
      <c r="N77" s="29">
        <v>23</v>
      </c>
      <c r="O77" s="29">
        <v>63</v>
      </c>
      <c r="P77" s="29">
        <v>22</v>
      </c>
      <c r="Q77" s="29">
        <v>64</v>
      </c>
      <c r="R77" s="29">
        <v>21</v>
      </c>
      <c r="S77" s="29">
        <v>63</v>
      </c>
      <c r="T77" s="29">
        <v>22</v>
      </c>
      <c r="U77" s="29">
        <v>62</v>
      </c>
      <c r="V77" s="29">
        <v>22</v>
      </c>
      <c r="W77" s="29">
        <v>63</v>
      </c>
    </row>
    <row r="78" spans="2:23" ht="15.6" x14ac:dyDescent="0.3">
      <c r="D78" s="31">
        <v>0.45833333333333331</v>
      </c>
      <c r="E78" s="29" t="s">
        <v>8</v>
      </c>
      <c r="F78" s="29">
        <v>24</v>
      </c>
      <c r="G78" s="29">
        <v>61</v>
      </c>
      <c r="H78" s="29">
        <v>25</v>
      </c>
      <c r="I78" s="29">
        <v>60</v>
      </c>
      <c r="J78" s="29">
        <v>24</v>
      </c>
      <c r="K78" s="29">
        <v>61</v>
      </c>
      <c r="L78" s="29">
        <v>26</v>
      </c>
      <c r="M78" s="29">
        <v>60</v>
      </c>
      <c r="N78" s="29">
        <v>25</v>
      </c>
      <c r="O78" s="29">
        <v>60</v>
      </c>
      <c r="P78" s="29">
        <v>23</v>
      </c>
      <c r="Q78" s="29">
        <v>62</v>
      </c>
      <c r="R78" s="29">
        <v>23</v>
      </c>
      <c r="S78" s="29">
        <v>61</v>
      </c>
      <c r="T78" s="29">
        <v>24</v>
      </c>
      <c r="U78" s="29">
        <v>60</v>
      </c>
      <c r="V78" s="29">
        <v>24.25</v>
      </c>
      <c r="W78" s="29">
        <v>60.63</v>
      </c>
    </row>
    <row r="79" spans="2:23" ht="15.6" x14ac:dyDescent="0.3">
      <c r="D79" s="31">
        <v>0.54166666666666663</v>
      </c>
      <c r="E79" s="29" t="s">
        <v>8</v>
      </c>
      <c r="F79" s="29">
        <v>27</v>
      </c>
      <c r="G79" s="29">
        <v>57</v>
      </c>
      <c r="H79" s="29">
        <v>26</v>
      </c>
      <c r="I79" s="29">
        <v>57</v>
      </c>
      <c r="J79" s="29">
        <v>27</v>
      </c>
      <c r="K79" s="29">
        <v>58</v>
      </c>
      <c r="L79" s="29">
        <v>27</v>
      </c>
      <c r="M79" s="29">
        <v>57</v>
      </c>
      <c r="N79" s="29">
        <v>26</v>
      </c>
      <c r="O79" s="29">
        <v>57</v>
      </c>
      <c r="P79" s="29">
        <v>25</v>
      </c>
      <c r="Q79" s="29">
        <v>59</v>
      </c>
      <c r="R79" s="29">
        <v>26</v>
      </c>
      <c r="S79" s="29">
        <v>58</v>
      </c>
      <c r="T79" s="29">
        <v>25</v>
      </c>
      <c r="U79" s="29">
        <v>57</v>
      </c>
      <c r="V79" s="29">
        <v>26.13</v>
      </c>
      <c r="W79" s="29">
        <v>57.5</v>
      </c>
    </row>
    <row r="80" spans="2:23" ht="15.6" x14ac:dyDescent="0.3">
      <c r="D80" s="31">
        <v>0.625</v>
      </c>
      <c r="E80" s="29" t="s">
        <v>8</v>
      </c>
      <c r="F80" s="29">
        <v>28</v>
      </c>
      <c r="G80" s="29">
        <v>54</v>
      </c>
      <c r="H80" s="29">
        <v>28</v>
      </c>
      <c r="I80" s="29">
        <v>55</v>
      </c>
      <c r="J80" s="29">
        <v>28</v>
      </c>
      <c r="K80" s="29">
        <v>55</v>
      </c>
      <c r="L80" s="29">
        <v>29</v>
      </c>
      <c r="M80" s="29">
        <v>54</v>
      </c>
      <c r="N80" s="29">
        <v>28</v>
      </c>
      <c r="O80" s="29">
        <v>55</v>
      </c>
      <c r="P80" s="29">
        <v>27</v>
      </c>
      <c r="Q80" s="29">
        <v>56</v>
      </c>
      <c r="R80" s="29">
        <v>27</v>
      </c>
      <c r="S80" s="29">
        <v>55</v>
      </c>
      <c r="T80" s="29">
        <v>26</v>
      </c>
      <c r="U80" s="29">
        <v>54</v>
      </c>
      <c r="V80" s="29">
        <v>27.63</v>
      </c>
      <c r="W80" s="29">
        <v>54.75</v>
      </c>
    </row>
    <row r="81" spans="2:23" ht="15.6" x14ac:dyDescent="0.3">
      <c r="B81" s="29">
        <v>7</v>
      </c>
      <c r="C81" s="30">
        <v>44955</v>
      </c>
      <c r="D81" s="31">
        <v>0.375</v>
      </c>
      <c r="E81" s="29" t="s">
        <v>8</v>
      </c>
      <c r="F81" s="29">
        <v>21</v>
      </c>
      <c r="G81" s="29">
        <v>63</v>
      </c>
      <c r="H81" s="29">
        <v>22</v>
      </c>
      <c r="I81" s="29">
        <v>64</v>
      </c>
      <c r="J81" s="29">
        <v>23</v>
      </c>
      <c r="K81" s="29">
        <v>62</v>
      </c>
      <c r="L81" s="29">
        <v>22</v>
      </c>
      <c r="M81" s="29">
        <v>63</v>
      </c>
      <c r="N81" s="29">
        <v>22</v>
      </c>
      <c r="O81" s="29">
        <v>63</v>
      </c>
      <c r="P81" s="29">
        <v>23</v>
      </c>
      <c r="Q81" s="29">
        <v>62</v>
      </c>
      <c r="R81" s="29">
        <v>22</v>
      </c>
      <c r="S81" s="29">
        <v>64</v>
      </c>
      <c r="T81" s="29">
        <v>23</v>
      </c>
      <c r="U81" s="29">
        <v>63</v>
      </c>
      <c r="V81" s="29">
        <v>22.25</v>
      </c>
      <c r="W81" s="29">
        <v>63</v>
      </c>
    </row>
    <row r="82" spans="2:23" ht="15.6" x14ac:dyDescent="0.3">
      <c r="D82" s="31">
        <v>0.45833333333333331</v>
      </c>
      <c r="E82" s="29" t="s">
        <v>8</v>
      </c>
      <c r="F82" s="29">
        <v>24</v>
      </c>
      <c r="G82" s="29">
        <v>59</v>
      </c>
      <c r="H82" s="29">
        <v>25</v>
      </c>
      <c r="I82" s="29">
        <v>62</v>
      </c>
      <c r="J82" s="29">
        <v>25</v>
      </c>
      <c r="K82" s="29">
        <v>59</v>
      </c>
      <c r="L82" s="29">
        <v>24</v>
      </c>
      <c r="M82" s="29">
        <v>61</v>
      </c>
      <c r="N82" s="29">
        <v>24</v>
      </c>
      <c r="O82" s="29">
        <v>60</v>
      </c>
      <c r="P82" s="29">
        <v>25</v>
      </c>
      <c r="Q82" s="29">
        <v>60</v>
      </c>
      <c r="R82" s="29">
        <v>25</v>
      </c>
      <c r="S82" s="29">
        <v>62</v>
      </c>
      <c r="T82" s="29">
        <v>25</v>
      </c>
      <c r="U82" s="29">
        <v>61</v>
      </c>
      <c r="V82" s="29">
        <v>24.63</v>
      </c>
      <c r="W82" s="29">
        <v>60.5</v>
      </c>
    </row>
    <row r="83" spans="2:23" ht="15.6" x14ac:dyDescent="0.3">
      <c r="D83" s="31">
        <v>0.54166666666666663</v>
      </c>
      <c r="E83" s="29" t="s">
        <v>8</v>
      </c>
      <c r="F83" s="29">
        <v>26</v>
      </c>
      <c r="G83" s="29">
        <v>56</v>
      </c>
      <c r="H83" s="29">
        <v>26</v>
      </c>
      <c r="I83" s="29">
        <v>59</v>
      </c>
      <c r="J83" s="29">
        <v>27</v>
      </c>
      <c r="K83" s="29">
        <v>57</v>
      </c>
      <c r="L83" s="29">
        <v>26</v>
      </c>
      <c r="M83" s="29">
        <v>58</v>
      </c>
      <c r="N83" s="29">
        <v>26</v>
      </c>
      <c r="O83" s="29">
        <v>57</v>
      </c>
      <c r="P83" s="29">
        <v>27</v>
      </c>
      <c r="Q83" s="29">
        <v>57</v>
      </c>
      <c r="R83" s="29">
        <v>27</v>
      </c>
      <c r="S83" s="29">
        <v>58</v>
      </c>
      <c r="T83" s="29">
        <v>27</v>
      </c>
      <c r="U83" s="29">
        <v>57</v>
      </c>
      <c r="V83" s="29">
        <v>26.5</v>
      </c>
      <c r="W83" s="29">
        <v>57.38</v>
      </c>
    </row>
    <row r="84" spans="2:23" ht="15.6" x14ac:dyDescent="0.3">
      <c r="D84" s="31">
        <v>0.625</v>
      </c>
      <c r="E84" s="29" t="s">
        <v>8</v>
      </c>
      <c r="F84" s="29">
        <v>28</v>
      </c>
      <c r="G84" s="29">
        <v>54</v>
      </c>
      <c r="H84" s="29">
        <v>27</v>
      </c>
      <c r="I84" s="29">
        <v>56</v>
      </c>
      <c r="J84" s="29">
        <v>28</v>
      </c>
      <c r="K84" s="29">
        <v>54</v>
      </c>
      <c r="L84" s="29">
        <v>28</v>
      </c>
      <c r="M84" s="29">
        <v>55</v>
      </c>
      <c r="N84" s="29">
        <v>27</v>
      </c>
      <c r="O84" s="29">
        <v>54</v>
      </c>
      <c r="P84" s="29">
        <v>29</v>
      </c>
      <c r="Q84" s="29">
        <v>55</v>
      </c>
      <c r="R84" s="29">
        <v>28</v>
      </c>
      <c r="S84" s="29">
        <v>56</v>
      </c>
      <c r="T84" s="29">
        <v>29</v>
      </c>
      <c r="U84" s="29">
        <v>55</v>
      </c>
      <c r="V84" s="29">
        <v>28</v>
      </c>
      <c r="W84" s="29">
        <v>54.88</v>
      </c>
    </row>
    <row r="85" spans="2:23" ht="15.6" x14ac:dyDescent="0.3">
      <c r="B85" s="29" t="s">
        <v>10</v>
      </c>
      <c r="C85" s="29"/>
      <c r="D85" s="29"/>
      <c r="V85">
        <f>AVERAGE(V57:V84)</f>
        <v>25.4025</v>
      </c>
      <c r="W85">
        <f>AVERAGE(W57:W84)</f>
        <v>59.100714285714311</v>
      </c>
    </row>
    <row r="86" spans="2:23" ht="15.6" x14ac:dyDescent="0.3">
      <c r="B86" s="29" t="s">
        <v>11</v>
      </c>
      <c r="C86" s="29"/>
      <c r="D86" s="29"/>
      <c r="E86" s="29"/>
      <c r="F86" s="29">
        <f>SUBTOTAL(105,F57:F84)</f>
        <v>21</v>
      </c>
      <c r="G86" s="29">
        <f t="shared" ref="G86:U86" si="0">SUBTOTAL(105,G57:G84)</f>
        <v>54</v>
      </c>
      <c r="H86" s="29">
        <f t="shared" si="0"/>
        <v>21</v>
      </c>
      <c r="I86" s="29">
        <f t="shared" si="0"/>
        <v>53</v>
      </c>
      <c r="J86" s="29">
        <f t="shared" si="0"/>
        <v>22</v>
      </c>
      <c r="K86" s="29">
        <f t="shared" si="0"/>
        <v>54</v>
      </c>
      <c r="L86" s="29">
        <f t="shared" si="0"/>
        <v>21</v>
      </c>
      <c r="M86" s="29">
        <f t="shared" si="0"/>
        <v>54</v>
      </c>
      <c r="N86" s="29">
        <f t="shared" si="0"/>
        <v>21</v>
      </c>
      <c r="O86" s="29">
        <f t="shared" si="0"/>
        <v>53</v>
      </c>
      <c r="P86" s="29">
        <f t="shared" si="0"/>
        <v>22</v>
      </c>
      <c r="Q86" s="29">
        <f t="shared" si="0"/>
        <v>54</v>
      </c>
      <c r="R86" s="29">
        <f t="shared" si="0"/>
        <v>21</v>
      </c>
      <c r="S86" s="29">
        <f t="shared" si="0"/>
        <v>52</v>
      </c>
      <c r="T86" s="29">
        <f t="shared" si="0"/>
        <v>22</v>
      </c>
      <c r="U86" s="29">
        <f t="shared" si="0"/>
        <v>54</v>
      </c>
    </row>
    <row r="87" spans="2:23" ht="15.6" x14ac:dyDescent="0.3">
      <c r="B87" s="29" t="s">
        <v>12</v>
      </c>
      <c r="C87" s="29"/>
      <c r="D87" s="29"/>
      <c r="E87" s="29"/>
      <c r="F87" s="29">
        <f>SUBTOTAL(104,F55:F86)</f>
        <v>29</v>
      </c>
      <c r="G87" s="29">
        <f t="shared" ref="G87:U87" si="1">SUBTOTAL(104,G55:G86)</f>
        <v>65</v>
      </c>
      <c r="H87" s="29">
        <f t="shared" si="1"/>
        <v>29</v>
      </c>
      <c r="I87" s="29">
        <f t="shared" si="1"/>
        <v>65</v>
      </c>
      <c r="J87" s="29">
        <f t="shared" si="1"/>
        <v>29</v>
      </c>
      <c r="K87" s="29">
        <f t="shared" si="1"/>
        <v>65</v>
      </c>
      <c r="L87" s="29">
        <f t="shared" si="1"/>
        <v>29</v>
      </c>
      <c r="M87" s="29">
        <f t="shared" si="1"/>
        <v>65</v>
      </c>
      <c r="N87" s="29">
        <f t="shared" si="1"/>
        <v>29</v>
      </c>
      <c r="O87" s="29">
        <f t="shared" si="1"/>
        <v>66</v>
      </c>
      <c r="P87" s="29">
        <f t="shared" si="1"/>
        <v>29</v>
      </c>
      <c r="Q87" s="29">
        <f t="shared" si="1"/>
        <v>64</v>
      </c>
      <c r="R87" s="29">
        <f t="shared" si="1"/>
        <v>29</v>
      </c>
      <c r="S87" s="29">
        <f t="shared" si="1"/>
        <v>66</v>
      </c>
      <c r="T87" s="29">
        <f t="shared" si="1"/>
        <v>29</v>
      </c>
      <c r="U87" s="29">
        <f t="shared" si="1"/>
        <v>64</v>
      </c>
    </row>
    <row r="91" spans="2:23" x14ac:dyDescent="0.3">
      <c r="B91" t="s">
        <v>0</v>
      </c>
      <c r="C91" t="s">
        <v>1</v>
      </c>
      <c r="D91" t="s">
        <v>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  <c r="J91" t="s">
        <v>18</v>
      </c>
      <c r="K91" t="s">
        <v>19</v>
      </c>
      <c r="L91" t="s">
        <v>20</v>
      </c>
      <c r="M91" t="s">
        <v>21</v>
      </c>
      <c r="N91" t="s">
        <v>22</v>
      </c>
      <c r="O91" t="s">
        <v>23</v>
      </c>
      <c r="P91" t="s">
        <v>24</v>
      </c>
      <c r="Q91" t="s">
        <v>25</v>
      </c>
      <c r="R91" t="s">
        <v>26</v>
      </c>
      <c r="S91" t="s">
        <v>27</v>
      </c>
      <c r="T91" t="s">
        <v>28</v>
      </c>
      <c r="U91" t="s">
        <v>30</v>
      </c>
      <c r="V91" t="s">
        <v>31</v>
      </c>
      <c r="W91" t="s">
        <v>32</v>
      </c>
    </row>
    <row r="92" spans="2:23" x14ac:dyDescent="0.3">
      <c r="B92" t="s">
        <v>3</v>
      </c>
      <c r="C92" t="s">
        <v>4</v>
      </c>
      <c r="D92" t="s">
        <v>5</v>
      </c>
    </row>
    <row r="93" spans="2:23" x14ac:dyDescent="0.3">
      <c r="F93">
        <v>1</v>
      </c>
      <c r="G93">
        <v>2</v>
      </c>
      <c r="H93">
        <v>3</v>
      </c>
      <c r="I93">
        <v>4</v>
      </c>
      <c r="J93">
        <v>5</v>
      </c>
      <c r="K93">
        <v>6</v>
      </c>
      <c r="L93">
        <v>7</v>
      </c>
      <c r="M93">
        <v>8</v>
      </c>
    </row>
    <row r="94" spans="2:23" x14ac:dyDescent="0.3">
      <c r="F94" t="s">
        <v>6</v>
      </c>
      <c r="G94" t="s">
        <v>7</v>
      </c>
      <c r="H94" t="s">
        <v>6</v>
      </c>
      <c r="I94" t="s">
        <v>7</v>
      </c>
      <c r="J94" t="s">
        <v>6</v>
      </c>
      <c r="K94" t="s">
        <v>7</v>
      </c>
      <c r="L94" t="s">
        <v>6</v>
      </c>
      <c r="M94" t="s">
        <v>7</v>
      </c>
      <c r="N94" t="s">
        <v>6</v>
      </c>
      <c r="O94" t="s">
        <v>7</v>
      </c>
      <c r="P94" t="s">
        <v>6</v>
      </c>
      <c r="Q94" t="s">
        <v>7</v>
      </c>
      <c r="R94" t="s">
        <v>6</v>
      </c>
      <c r="S94" t="s">
        <v>7</v>
      </c>
      <c r="T94" t="s">
        <v>6</v>
      </c>
      <c r="U94" t="s">
        <v>7</v>
      </c>
      <c r="V94" t="s">
        <v>6</v>
      </c>
      <c r="W94" t="s">
        <v>7</v>
      </c>
    </row>
    <row r="95" spans="2:23" x14ac:dyDescent="0.3">
      <c r="B95">
        <v>1</v>
      </c>
      <c r="C95" s="6">
        <v>44949</v>
      </c>
      <c r="D95" s="7">
        <v>0.375</v>
      </c>
      <c r="E95" t="s">
        <v>29</v>
      </c>
      <c r="F95">
        <v>22</v>
      </c>
      <c r="G95">
        <v>65</v>
      </c>
      <c r="H95">
        <v>23</v>
      </c>
      <c r="I95">
        <v>63</v>
      </c>
      <c r="J95">
        <v>22</v>
      </c>
      <c r="K95">
        <v>64</v>
      </c>
      <c r="L95">
        <v>21</v>
      </c>
      <c r="M95">
        <v>64</v>
      </c>
      <c r="N95">
        <v>22</v>
      </c>
      <c r="O95">
        <v>63</v>
      </c>
      <c r="P95">
        <v>23</v>
      </c>
      <c r="Q95">
        <v>65</v>
      </c>
      <c r="R95">
        <v>22</v>
      </c>
      <c r="S95">
        <v>64</v>
      </c>
      <c r="T95">
        <v>23</v>
      </c>
      <c r="U95">
        <v>63</v>
      </c>
      <c r="V95">
        <v>22.25</v>
      </c>
      <c r="W95">
        <v>63.875</v>
      </c>
    </row>
    <row r="96" spans="2:23" x14ac:dyDescent="0.3">
      <c r="D96" s="7">
        <v>0.45833333333333331</v>
      </c>
      <c r="E96" t="s">
        <v>29</v>
      </c>
      <c r="F96">
        <v>24</v>
      </c>
      <c r="G96">
        <v>62</v>
      </c>
      <c r="H96">
        <v>25</v>
      </c>
      <c r="I96">
        <v>61</v>
      </c>
      <c r="J96">
        <v>24</v>
      </c>
      <c r="K96">
        <v>60</v>
      </c>
      <c r="L96">
        <v>23</v>
      </c>
      <c r="M96">
        <v>62</v>
      </c>
      <c r="N96">
        <v>24</v>
      </c>
      <c r="O96">
        <v>61</v>
      </c>
      <c r="P96">
        <v>25</v>
      </c>
      <c r="Q96">
        <v>63</v>
      </c>
      <c r="R96">
        <v>24</v>
      </c>
      <c r="S96">
        <v>61</v>
      </c>
      <c r="T96">
        <v>25</v>
      </c>
      <c r="U96">
        <v>62</v>
      </c>
      <c r="V96">
        <v>24.25</v>
      </c>
      <c r="W96">
        <v>61.5</v>
      </c>
    </row>
    <row r="97" spans="2:23" x14ac:dyDescent="0.3">
      <c r="D97" s="7">
        <v>0.54166666666666663</v>
      </c>
      <c r="E97" t="s">
        <v>29</v>
      </c>
      <c r="F97">
        <v>27</v>
      </c>
      <c r="G97">
        <v>59</v>
      </c>
      <c r="H97">
        <v>26</v>
      </c>
      <c r="I97">
        <v>58</v>
      </c>
      <c r="J97">
        <v>27</v>
      </c>
      <c r="K97">
        <v>60</v>
      </c>
      <c r="L97">
        <v>26</v>
      </c>
      <c r="M97">
        <v>59</v>
      </c>
      <c r="N97">
        <v>27</v>
      </c>
      <c r="O97">
        <v>58</v>
      </c>
      <c r="P97">
        <v>28</v>
      </c>
      <c r="Q97">
        <v>59</v>
      </c>
      <c r="R97">
        <v>27</v>
      </c>
      <c r="S97">
        <v>60</v>
      </c>
      <c r="T97">
        <v>26</v>
      </c>
      <c r="U97">
        <v>58</v>
      </c>
      <c r="V97">
        <v>26.75</v>
      </c>
      <c r="W97">
        <v>58.875</v>
      </c>
    </row>
    <row r="98" spans="2:23" x14ac:dyDescent="0.3">
      <c r="D98" s="7">
        <v>0.625</v>
      </c>
      <c r="E98" t="s">
        <v>29</v>
      </c>
      <c r="F98">
        <v>28</v>
      </c>
      <c r="G98">
        <v>55</v>
      </c>
      <c r="H98">
        <v>29</v>
      </c>
      <c r="I98">
        <v>54</v>
      </c>
      <c r="J98">
        <v>27</v>
      </c>
      <c r="K98">
        <v>56</v>
      </c>
      <c r="L98">
        <v>28</v>
      </c>
      <c r="M98">
        <v>55</v>
      </c>
      <c r="N98">
        <v>28</v>
      </c>
      <c r="O98">
        <v>54</v>
      </c>
      <c r="P98">
        <v>29</v>
      </c>
      <c r="Q98">
        <v>56</v>
      </c>
      <c r="R98">
        <v>27</v>
      </c>
      <c r="S98">
        <v>55</v>
      </c>
      <c r="T98">
        <v>28</v>
      </c>
      <c r="U98">
        <v>54</v>
      </c>
      <c r="V98">
        <v>28</v>
      </c>
      <c r="W98">
        <v>54.875</v>
      </c>
    </row>
    <row r="99" spans="2:23" x14ac:dyDescent="0.3">
      <c r="B99">
        <v>2</v>
      </c>
      <c r="C99" s="6">
        <v>44950</v>
      </c>
      <c r="D99" s="7">
        <v>0.375</v>
      </c>
      <c r="E99" t="s">
        <v>29</v>
      </c>
      <c r="F99">
        <v>21</v>
      </c>
      <c r="G99">
        <v>64</v>
      </c>
      <c r="H99">
        <v>22</v>
      </c>
      <c r="I99">
        <v>63</v>
      </c>
      <c r="J99">
        <v>23</v>
      </c>
      <c r="K99">
        <v>65</v>
      </c>
      <c r="L99">
        <v>22</v>
      </c>
      <c r="M99">
        <v>64</v>
      </c>
      <c r="N99">
        <v>21</v>
      </c>
      <c r="O99">
        <v>63</v>
      </c>
      <c r="P99">
        <v>22</v>
      </c>
      <c r="Q99">
        <v>65</v>
      </c>
      <c r="R99">
        <v>23</v>
      </c>
      <c r="S99">
        <v>64</v>
      </c>
      <c r="T99">
        <v>22</v>
      </c>
      <c r="U99">
        <v>63</v>
      </c>
      <c r="V99">
        <v>22</v>
      </c>
      <c r="W99">
        <v>63.875</v>
      </c>
    </row>
    <row r="100" spans="2:23" x14ac:dyDescent="0.3">
      <c r="D100" s="7">
        <v>0.45833333333333331</v>
      </c>
      <c r="E100" t="s">
        <v>29</v>
      </c>
      <c r="F100">
        <v>24</v>
      </c>
      <c r="G100">
        <v>62</v>
      </c>
      <c r="H100">
        <v>25</v>
      </c>
      <c r="I100">
        <v>63</v>
      </c>
      <c r="J100">
        <v>24</v>
      </c>
      <c r="K100">
        <v>61</v>
      </c>
      <c r="L100">
        <v>23</v>
      </c>
      <c r="M100">
        <v>62</v>
      </c>
      <c r="N100">
        <v>25</v>
      </c>
      <c r="O100">
        <v>63</v>
      </c>
      <c r="P100">
        <v>24</v>
      </c>
      <c r="Q100">
        <v>61</v>
      </c>
      <c r="R100">
        <v>25</v>
      </c>
      <c r="S100">
        <v>62</v>
      </c>
      <c r="T100">
        <v>24</v>
      </c>
      <c r="U100">
        <v>62</v>
      </c>
      <c r="V100">
        <v>24.25</v>
      </c>
      <c r="W100">
        <v>62</v>
      </c>
    </row>
    <row r="101" spans="2:23" x14ac:dyDescent="0.3">
      <c r="D101" s="7">
        <v>0.54166666666666663</v>
      </c>
      <c r="E101" t="s">
        <v>29</v>
      </c>
      <c r="F101">
        <v>26</v>
      </c>
      <c r="G101">
        <v>59</v>
      </c>
      <c r="H101">
        <v>27</v>
      </c>
      <c r="I101">
        <v>60</v>
      </c>
      <c r="J101">
        <v>26</v>
      </c>
      <c r="K101">
        <v>58</v>
      </c>
      <c r="L101">
        <v>27</v>
      </c>
      <c r="M101">
        <v>59</v>
      </c>
      <c r="N101">
        <v>26</v>
      </c>
      <c r="O101">
        <v>60</v>
      </c>
      <c r="P101">
        <v>27</v>
      </c>
      <c r="Q101">
        <v>61</v>
      </c>
      <c r="R101">
        <v>26</v>
      </c>
      <c r="S101">
        <v>59</v>
      </c>
      <c r="T101">
        <v>27</v>
      </c>
      <c r="U101">
        <v>60</v>
      </c>
      <c r="V101">
        <v>26.5</v>
      </c>
      <c r="W101">
        <v>59.5</v>
      </c>
    </row>
    <row r="102" spans="2:23" x14ac:dyDescent="0.3">
      <c r="D102" s="7">
        <v>0.625</v>
      </c>
      <c r="E102" t="s">
        <v>29</v>
      </c>
      <c r="F102">
        <v>28</v>
      </c>
      <c r="G102">
        <v>56</v>
      </c>
      <c r="H102">
        <v>27</v>
      </c>
      <c r="I102">
        <v>55</v>
      </c>
      <c r="J102">
        <v>28</v>
      </c>
      <c r="K102">
        <v>57</v>
      </c>
      <c r="L102">
        <v>29</v>
      </c>
      <c r="M102">
        <v>56</v>
      </c>
      <c r="N102">
        <v>27</v>
      </c>
      <c r="O102">
        <v>55</v>
      </c>
      <c r="P102">
        <v>28</v>
      </c>
      <c r="Q102">
        <v>57</v>
      </c>
      <c r="R102">
        <v>28</v>
      </c>
      <c r="S102">
        <v>56</v>
      </c>
      <c r="T102">
        <v>29</v>
      </c>
      <c r="U102">
        <v>55</v>
      </c>
      <c r="V102">
        <v>28</v>
      </c>
      <c r="W102">
        <v>55.875</v>
      </c>
    </row>
    <row r="103" spans="2:23" x14ac:dyDescent="0.3">
      <c r="B103">
        <v>3</v>
      </c>
      <c r="C103" s="6">
        <v>44951</v>
      </c>
      <c r="D103" s="7">
        <v>0.375</v>
      </c>
      <c r="E103" t="s">
        <v>29</v>
      </c>
      <c r="F103">
        <v>22</v>
      </c>
      <c r="G103">
        <v>64</v>
      </c>
      <c r="H103">
        <v>21</v>
      </c>
      <c r="I103">
        <v>63</v>
      </c>
      <c r="J103">
        <v>22</v>
      </c>
      <c r="K103">
        <v>65</v>
      </c>
      <c r="L103">
        <v>21</v>
      </c>
      <c r="M103">
        <v>64</v>
      </c>
      <c r="N103">
        <v>22</v>
      </c>
      <c r="O103">
        <v>64</v>
      </c>
      <c r="P103">
        <v>23</v>
      </c>
      <c r="Q103">
        <v>63</v>
      </c>
      <c r="R103">
        <v>22</v>
      </c>
      <c r="S103">
        <v>65</v>
      </c>
      <c r="T103">
        <v>23</v>
      </c>
      <c r="U103">
        <v>64</v>
      </c>
      <c r="V103">
        <v>22</v>
      </c>
      <c r="W103">
        <v>64</v>
      </c>
    </row>
    <row r="104" spans="2:23" x14ac:dyDescent="0.3">
      <c r="D104" s="7">
        <v>0.45833333333333331</v>
      </c>
      <c r="E104" t="s">
        <v>29</v>
      </c>
      <c r="F104">
        <v>25</v>
      </c>
      <c r="G104">
        <v>62</v>
      </c>
      <c r="H104">
        <v>24</v>
      </c>
      <c r="I104">
        <v>63</v>
      </c>
      <c r="J104">
        <v>23</v>
      </c>
      <c r="K104">
        <v>62</v>
      </c>
      <c r="L104">
        <v>24</v>
      </c>
      <c r="M104">
        <v>61</v>
      </c>
      <c r="N104">
        <v>25</v>
      </c>
      <c r="O104">
        <v>63</v>
      </c>
      <c r="P104">
        <v>24</v>
      </c>
      <c r="Q104">
        <v>61</v>
      </c>
      <c r="R104">
        <v>25</v>
      </c>
      <c r="S104">
        <v>62</v>
      </c>
      <c r="T104">
        <v>24</v>
      </c>
      <c r="U104">
        <v>62</v>
      </c>
      <c r="V104">
        <v>24.25</v>
      </c>
      <c r="W104">
        <v>62</v>
      </c>
    </row>
    <row r="105" spans="2:23" x14ac:dyDescent="0.3">
      <c r="D105" s="7">
        <v>0.54166666666666663</v>
      </c>
      <c r="E105" t="s">
        <v>29</v>
      </c>
      <c r="F105">
        <v>26</v>
      </c>
      <c r="G105">
        <v>60</v>
      </c>
      <c r="H105">
        <v>27</v>
      </c>
      <c r="I105">
        <v>59</v>
      </c>
      <c r="J105">
        <v>26</v>
      </c>
      <c r="K105">
        <v>61</v>
      </c>
      <c r="L105">
        <v>27</v>
      </c>
      <c r="M105">
        <v>60</v>
      </c>
      <c r="N105">
        <v>25</v>
      </c>
      <c r="O105">
        <v>59</v>
      </c>
      <c r="P105">
        <v>27</v>
      </c>
      <c r="Q105">
        <v>60</v>
      </c>
      <c r="R105">
        <v>26</v>
      </c>
      <c r="S105">
        <v>61</v>
      </c>
      <c r="T105">
        <v>27</v>
      </c>
      <c r="U105">
        <v>59</v>
      </c>
      <c r="V105">
        <v>26.375</v>
      </c>
      <c r="W105">
        <v>59.875</v>
      </c>
    </row>
    <row r="106" spans="2:23" x14ac:dyDescent="0.3">
      <c r="D106" s="7">
        <v>0.625</v>
      </c>
      <c r="E106" t="s">
        <v>29</v>
      </c>
      <c r="F106">
        <v>27</v>
      </c>
      <c r="G106">
        <v>56</v>
      </c>
      <c r="H106">
        <v>28</v>
      </c>
      <c r="I106">
        <v>57</v>
      </c>
      <c r="J106">
        <v>29</v>
      </c>
      <c r="K106">
        <v>55</v>
      </c>
      <c r="L106">
        <v>28</v>
      </c>
      <c r="M106">
        <v>56</v>
      </c>
      <c r="N106">
        <v>27</v>
      </c>
      <c r="O106">
        <v>57</v>
      </c>
      <c r="P106">
        <v>28</v>
      </c>
      <c r="Q106">
        <v>55</v>
      </c>
      <c r="R106">
        <v>30</v>
      </c>
      <c r="S106">
        <v>54</v>
      </c>
      <c r="T106">
        <v>28</v>
      </c>
      <c r="U106">
        <v>55</v>
      </c>
      <c r="V106">
        <v>28.125</v>
      </c>
      <c r="W106">
        <v>55.625</v>
      </c>
    </row>
    <row r="107" spans="2:23" x14ac:dyDescent="0.3">
      <c r="B107">
        <v>4</v>
      </c>
      <c r="C107" s="6">
        <v>44952</v>
      </c>
      <c r="D107" s="7">
        <v>0.375</v>
      </c>
      <c r="E107" t="s">
        <v>29</v>
      </c>
      <c r="F107">
        <v>22</v>
      </c>
      <c r="G107">
        <v>64</v>
      </c>
      <c r="H107">
        <v>21</v>
      </c>
      <c r="I107">
        <v>65</v>
      </c>
      <c r="J107">
        <v>22</v>
      </c>
      <c r="K107">
        <v>63</v>
      </c>
      <c r="L107">
        <v>23</v>
      </c>
      <c r="M107">
        <v>62</v>
      </c>
      <c r="N107">
        <v>22</v>
      </c>
      <c r="O107">
        <v>64</v>
      </c>
      <c r="P107">
        <v>23</v>
      </c>
      <c r="Q107">
        <v>63</v>
      </c>
      <c r="R107">
        <v>22</v>
      </c>
      <c r="S107">
        <v>64</v>
      </c>
      <c r="T107">
        <v>23</v>
      </c>
      <c r="U107">
        <v>63</v>
      </c>
      <c r="V107">
        <v>22.25</v>
      </c>
      <c r="W107">
        <v>63.5</v>
      </c>
    </row>
    <row r="108" spans="2:23" x14ac:dyDescent="0.3">
      <c r="D108" s="7">
        <v>0.45833333333333331</v>
      </c>
      <c r="E108" t="s">
        <v>29</v>
      </c>
      <c r="F108">
        <v>25</v>
      </c>
      <c r="G108">
        <v>60</v>
      </c>
      <c r="H108">
        <v>24</v>
      </c>
      <c r="I108">
        <v>61</v>
      </c>
      <c r="J108">
        <v>23</v>
      </c>
      <c r="K108">
        <v>62</v>
      </c>
      <c r="L108">
        <v>24</v>
      </c>
      <c r="M108">
        <v>60</v>
      </c>
      <c r="N108">
        <v>25</v>
      </c>
      <c r="O108">
        <v>61</v>
      </c>
      <c r="P108">
        <v>24</v>
      </c>
      <c r="Q108">
        <v>62</v>
      </c>
      <c r="R108">
        <v>25</v>
      </c>
      <c r="S108">
        <v>61</v>
      </c>
      <c r="T108">
        <v>24</v>
      </c>
      <c r="U108">
        <v>60</v>
      </c>
      <c r="V108">
        <v>24.25</v>
      </c>
      <c r="W108">
        <v>60.875</v>
      </c>
    </row>
    <row r="109" spans="2:23" x14ac:dyDescent="0.3">
      <c r="D109" s="7">
        <v>0.54166666666666663</v>
      </c>
      <c r="E109" t="s">
        <v>29</v>
      </c>
      <c r="F109">
        <v>26</v>
      </c>
      <c r="G109">
        <v>58</v>
      </c>
      <c r="H109">
        <v>27</v>
      </c>
      <c r="I109">
        <v>59</v>
      </c>
      <c r="J109">
        <v>26</v>
      </c>
      <c r="K109">
        <v>60</v>
      </c>
      <c r="L109">
        <v>26</v>
      </c>
      <c r="M109">
        <v>58</v>
      </c>
      <c r="N109">
        <v>27</v>
      </c>
      <c r="O109">
        <v>59</v>
      </c>
      <c r="P109">
        <v>26</v>
      </c>
      <c r="Q109">
        <v>57</v>
      </c>
      <c r="R109">
        <v>27</v>
      </c>
      <c r="S109">
        <v>58</v>
      </c>
      <c r="T109">
        <v>26</v>
      </c>
      <c r="U109">
        <v>57</v>
      </c>
      <c r="V109">
        <v>26.375</v>
      </c>
      <c r="W109">
        <v>58.25</v>
      </c>
    </row>
    <row r="110" spans="2:23" x14ac:dyDescent="0.3">
      <c r="D110" s="7">
        <v>0.625</v>
      </c>
      <c r="E110" t="s">
        <v>29</v>
      </c>
      <c r="F110">
        <v>28</v>
      </c>
      <c r="G110">
        <v>56</v>
      </c>
      <c r="H110">
        <v>27</v>
      </c>
      <c r="I110">
        <v>55</v>
      </c>
      <c r="J110">
        <v>28</v>
      </c>
      <c r="K110">
        <v>54</v>
      </c>
      <c r="L110">
        <v>27</v>
      </c>
      <c r="M110">
        <v>55</v>
      </c>
      <c r="N110">
        <v>28</v>
      </c>
      <c r="O110">
        <v>56</v>
      </c>
      <c r="P110">
        <v>27</v>
      </c>
      <c r="Q110">
        <v>54</v>
      </c>
      <c r="R110">
        <v>28</v>
      </c>
      <c r="S110">
        <v>55</v>
      </c>
      <c r="T110">
        <v>27</v>
      </c>
      <c r="U110">
        <v>53</v>
      </c>
      <c r="V110">
        <v>27.5</v>
      </c>
      <c r="W110">
        <v>54.75</v>
      </c>
    </row>
    <row r="111" spans="2:23" x14ac:dyDescent="0.3">
      <c r="B111">
        <v>5</v>
      </c>
      <c r="C111" s="6">
        <v>44953</v>
      </c>
      <c r="D111" s="7">
        <v>0.375</v>
      </c>
      <c r="E111" t="s">
        <v>29</v>
      </c>
      <c r="F111">
        <v>21</v>
      </c>
      <c r="G111">
        <v>64</v>
      </c>
      <c r="H111">
        <v>22</v>
      </c>
      <c r="I111">
        <v>63</v>
      </c>
      <c r="J111">
        <v>23</v>
      </c>
      <c r="K111">
        <v>62</v>
      </c>
      <c r="L111">
        <v>22</v>
      </c>
      <c r="M111">
        <v>63</v>
      </c>
      <c r="N111">
        <v>23</v>
      </c>
      <c r="O111">
        <v>62</v>
      </c>
      <c r="P111">
        <v>24</v>
      </c>
      <c r="Q111">
        <v>63</v>
      </c>
      <c r="R111">
        <v>22</v>
      </c>
      <c r="S111">
        <v>64</v>
      </c>
      <c r="T111">
        <v>23</v>
      </c>
      <c r="U111">
        <v>63</v>
      </c>
      <c r="V111">
        <v>22.5</v>
      </c>
      <c r="W111">
        <v>63</v>
      </c>
    </row>
    <row r="112" spans="2:23" x14ac:dyDescent="0.3">
      <c r="D112" s="7">
        <v>0.45833333333333331</v>
      </c>
      <c r="E112" t="s">
        <v>29</v>
      </c>
      <c r="F112">
        <v>24</v>
      </c>
      <c r="G112">
        <v>61</v>
      </c>
      <c r="H112">
        <v>25</v>
      </c>
      <c r="I112">
        <v>60</v>
      </c>
      <c r="J112">
        <v>24</v>
      </c>
      <c r="K112">
        <v>60</v>
      </c>
      <c r="L112">
        <v>25</v>
      </c>
      <c r="M112">
        <v>59</v>
      </c>
      <c r="N112">
        <v>23</v>
      </c>
      <c r="O112">
        <v>60</v>
      </c>
      <c r="P112">
        <v>25</v>
      </c>
      <c r="Q112">
        <v>61</v>
      </c>
      <c r="R112">
        <v>24</v>
      </c>
      <c r="S112">
        <v>60</v>
      </c>
      <c r="T112">
        <v>26</v>
      </c>
      <c r="U112">
        <v>59</v>
      </c>
      <c r="V112">
        <v>24.5</v>
      </c>
      <c r="W112">
        <v>60</v>
      </c>
    </row>
    <row r="113" spans="2:23" x14ac:dyDescent="0.3">
      <c r="D113" s="7">
        <v>0.54166666666666663</v>
      </c>
      <c r="E113" t="s">
        <v>29</v>
      </c>
      <c r="F113">
        <v>26</v>
      </c>
      <c r="G113">
        <v>58</v>
      </c>
      <c r="H113">
        <v>25</v>
      </c>
      <c r="I113">
        <v>59</v>
      </c>
      <c r="J113">
        <v>27</v>
      </c>
      <c r="K113">
        <v>57</v>
      </c>
      <c r="L113">
        <v>26</v>
      </c>
      <c r="M113">
        <v>58</v>
      </c>
      <c r="N113">
        <v>25</v>
      </c>
      <c r="O113">
        <v>57</v>
      </c>
      <c r="P113">
        <v>26</v>
      </c>
      <c r="Q113">
        <v>58</v>
      </c>
      <c r="R113">
        <v>27</v>
      </c>
      <c r="S113">
        <v>56</v>
      </c>
      <c r="T113">
        <v>26</v>
      </c>
      <c r="U113">
        <v>57</v>
      </c>
      <c r="V113">
        <v>26</v>
      </c>
      <c r="W113">
        <v>57.5</v>
      </c>
    </row>
    <row r="114" spans="2:23" x14ac:dyDescent="0.3">
      <c r="D114" s="7">
        <v>0.625</v>
      </c>
      <c r="E114" t="s">
        <v>29</v>
      </c>
      <c r="F114">
        <v>27</v>
      </c>
      <c r="G114">
        <v>55</v>
      </c>
      <c r="H114">
        <v>28</v>
      </c>
      <c r="I114">
        <v>54</v>
      </c>
      <c r="J114">
        <v>27</v>
      </c>
      <c r="K114">
        <v>56</v>
      </c>
      <c r="L114">
        <v>28</v>
      </c>
      <c r="M114">
        <v>55</v>
      </c>
      <c r="N114">
        <v>27</v>
      </c>
      <c r="O114">
        <v>54</v>
      </c>
      <c r="P114">
        <v>28</v>
      </c>
      <c r="Q114">
        <v>53</v>
      </c>
      <c r="R114">
        <v>30</v>
      </c>
      <c r="S114">
        <v>54</v>
      </c>
      <c r="T114">
        <v>27</v>
      </c>
      <c r="U114">
        <v>55</v>
      </c>
      <c r="V114">
        <v>27.75</v>
      </c>
      <c r="W114">
        <v>54.75</v>
      </c>
    </row>
    <row r="115" spans="2:23" x14ac:dyDescent="0.3">
      <c r="B115">
        <v>6</v>
      </c>
      <c r="C115" s="6">
        <v>44954</v>
      </c>
      <c r="D115" s="7">
        <v>0.375</v>
      </c>
      <c r="E115" t="s">
        <v>29</v>
      </c>
      <c r="F115">
        <v>22</v>
      </c>
      <c r="G115">
        <v>63</v>
      </c>
      <c r="H115">
        <v>21</v>
      </c>
      <c r="I115">
        <v>64</v>
      </c>
      <c r="J115">
        <v>22</v>
      </c>
      <c r="K115">
        <v>63</v>
      </c>
      <c r="L115">
        <v>23</v>
      </c>
      <c r="M115">
        <v>62</v>
      </c>
      <c r="N115">
        <v>22</v>
      </c>
      <c r="O115">
        <v>64</v>
      </c>
      <c r="P115">
        <v>23</v>
      </c>
      <c r="Q115">
        <v>62</v>
      </c>
      <c r="R115">
        <v>22</v>
      </c>
      <c r="S115">
        <v>63</v>
      </c>
      <c r="T115">
        <v>23</v>
      </c>
      <c r="U115">
        <v>62</v>
      </c>
      <c r="V115">
        <v>22.25</v>
      </c>
      <c r="W115">
        <v>62.875</v>
      </c>
    </row>
    <row r="116" spans="2:23" x14ac:dyDescent="0.3">
      <c r="D116" s="7">
        <v>0.45833333333333331</v>
      </c>
      <c r="E116" t="s">
        <v>29</v>
      </c>
      <c r="F116">
        <v>24</v>
      </c>
      <c r="G116">
        <v>61</v>
      </c>
      <c r="H116">
        <v>24</v>
      </c>
      <c r="I116">
        <v>60</v>
      </c>
      <c r="J116">
        <v>23</v>
      </c>
      <c r="K116">
        <v>61</v>
      </c>
      <c r="L116">
        <v>24</v>
      </c>
      <c r="M116">
        <v>62</v>
      </c>
      <c r="N116">
        <v>23</v>
      </c>
      <c r="O116">
        <v>60</v>
      </c>
      <c r="P116">
        <v>25</v>
      </c>
      <c r="Q116">
        <v>59</v>
      </c>
      <c r="R116">
        <v>25</v>
      </c>
      <c r="S116">
        <v>61</v>
      </c>
      <c r="T116">
        <v>24</v>
      </c>
      <c r="U116">
        <v>60</v>
      </c>
      <c r="V116">
        <v>24</v>
      </c>
      <c r="W116">
        <v>60.5</v>
      </c>
    </row>
    <row r="117" spans="2:23" x14ac:dyDescent="0.3">
      <c r="D117" s="7">
        <v>0.54166666666666663</v>
      </c>
      <c r="E117" t="s">
        <v>29</v>
      </c>
      <c r="F117">
        <v>27</v>
      </c>
      <c r="G117">
        <v>58</v>
      </c>
      <c r="H117">
        <v>26</v>
      </c>
      <c r="I117">
        <v>57</v>
      </c>
      <c r="J117">
        <v>25</v>
      </c>
      <c r="K117">
        <v>58</v>
      </c>
      <c r="L117">
        <v>27</v>
      </c>
      <c r="M117">
        <v>56</v>
      </c>
      <c r="N117">
        <v>25</v>
      </c>
      <c r="O117">
        <v>57</v>
      </c>
      <c r="P117">
        <v>27</v>
      </c>
      <c r="Q117">
        <v>58</v>
      </c>
      <c r="R117">
        <v>26</v>
      </c>
      <c r="S117">
        <v>57</v>
      </c>
      <c r="T117">
        <v>27</v>
      </c>
      <c r="U117">
        <v>58</v>
      </c>
      <c r="V117">
        <v>26.25</v>
      </c>
      <c r="W117">
        <v>57.375</v>
      </c>
    </row>
    <row r="118" spans="2:23" x14ac:dyDescent="0.3">
      <c r="D118" s="7">
        <v>0.625</v>
      </c>
      <c r="E118" t="s">
        <v>29</v>
      </c>
      <c r="F118">
        <v>28</v>
      </c>
      <c r="G118">
        <v>55</v>
      </c>
      <c r="H118">
        <v>27</v>
      </c>
      <c r="I118">
        <v>54</v>
      </c>
      <c r="J118">
        <v>27</v>
      </c>
      <c r="K118">
        <v>55</v>
      </c>
      <c r="L118">
        <v>28</v>
      </c>
      <c r="M118">
        <v>53</v>
      </c>
      <c r="N118">
        <v>27</v>
      </c>
      <c r="O118">
        <v>54</v>
      </c>
      <c r="P118">
        <v>30</v>
      </c>
      <c r="Q118">
        <v>53</v>
      </c>
      <c r="R118">
        <v>28</v>
      </c>
      <c r="S118">
        <v>54</v>
      </c>
      <c r="T118">
        <v>29</v>
      </c>
      <c r="U118">
        <v>55</v>
      </c>
      <c r="V118">
        <v>28</v>
      </c>
      <c r="W118">
        <v>54.125</v>
      </c>
    </row>
    <row r="119" spans="2:23" x14ac:dyDescent="0.3">
      <c r="B119">
        <v>7</v>
      </c>
      <c r="C119" s="6">
        <v>44955</v>
      </c>
      <c r="D119" s="7">
        <v>0.375</v>
      </c>
      <c r="E119" t="s">
        <v>29</v>
      </c>
      <c r="F119">
        <v>21</v>
      </c>
      <c r="G119">
        <v>64</v>
      </c>
      <c r="H119">
        <v>22</v>
      </c>
      <c r="I119">
        <v>63</v>
      </c>
      <c r="J119">
        <v>23</v>
      </c>
      <c r="K119">
        <v>62</v>
      </c>
      <c r="L119">
        <v>23</v>
      </c>
      <c r="M119">
        <v>63</v>
      </c>
      <c r="N119">
        <v>22</v>
      </c>
      <c r="O119">
        <v>65</v>
      </c>
      <c r="P119">
        <v>24</v>
      </c>
      <c r="Q119">
        <v>62</v>
      </c>
      <c r="R119">
        <v>23</v>
      </c>
      <c r="S119">
        <v>63</v>
      </c>
      <c r="T119">
        <v>22</v>
      </c>
      <c r="U119">
        <v>64</v>
      </c>
      <c r="V119">
        <v>22.5</v>
      </c>
      <c r="W119">
        <v>63.25</v>
      </c>
    </row>
    <row r="120" spans="2:23" x14ac:dyDescent="0.3">
      <c r="D120" s="7">
        <v>0.45833333333333331</v>
      </c>
      <c r="E120" t="s">
        <v>29</v>
      </c>
      <c r="F120">
        <v>23</v>
      </c>
      <c r="G120">
        <v>61</v>
      </c>
      <c r="H120">
        <v>24</v>
      </c>
      <c r="I120">
        <v>60</v>
      </c>
      <c r="J120">
        <v>25</v>
      </c>
      <c r="K120">
        <v>61</v>
      </c>
      <c r="L120">
        <v>25</v>
      </c>
      <c r="M120">
        <v>59</v>
      </c>
      <c r="N120">
        <v>24</v>
      </c>
      <c r="O120">
        <v>60</v>
      </c>
      <c r="P120">
        <v>25</v>
      </c>
      <c r="Q120">
        <v>59</v>
      </c>
      <c r="R120">
        <v>24</v>
      </c>
      <c r="S120">
        <v>60</v>
      </c>
      <c r="T120">
        <v>25</v>
      </c>
      <c r="U120">
        <v>61</v>
      </c>
      <c r="V120">
        <v>24.375</v>
      </c>
      <c r="W120">
        <v>60.125</v>
      </c>
    </row>
    <row r="121" spans="2:23" x14ac:dyDescent="0.3">
      <c r="D121" s="7">
        <v>0.54166666666666663</v>
      </c>
      <c r="E121" t="s">
        <v>29</v>
      </c>
      <c r="F121">
        <v>25</v>
      </c>
      <c r="G121">
        <v>59</v>
      </c>
      <c r="H121">
        <v>27</v>
      </c>
      <c r="I121">
        <v>57</v>
      </c>
      <c r="J121">
        <v>26</v>
      </c>
      <c r="K121">
        <v>58</v>
      </c>
      <c r="L121">
        <v>27</v>
      </c>
      <c r="M121">
        <v>56</v>
      </c>
      <c r="N121">
        <v>26</v>
      </c>
      <c r="O121">
        <v>59</v>
      </c>
      <c r="P121">
        <v>27</v>
      </c>
      <c r="Q121">
        <v>58</v>
      </c>
      <c r="R121">
        <v>26</v>
      </c>
      <c r="S121">
        <v>57</v>
      </c>
      <c r="T121">
        <v>27</v>
      </c>
      <c r="U121">
        <v>58</v>
      </c>
      <c r="V121">
        <v>26.375</v>
      </c>
      <c r="W121">
        <v>57.75</v>
      </c>
    </row>
    <row r="122" spans="2:23" x14ac:dyDescent="0.3">
      <c r="D122" s="7">
        <v>0.625</v>
      </c>
      <c r="E122" t="s">
        <v>29</v>
      </c>
      <c r="F122">
        <v>27</v>
      </c>
      <c r="G122">
        <v>56</v>
      </c>
      <c r="H122">
        <v>28</v>
      </c>
      <c r="I122">
        <v>54</v>
      </c>
      <c r="J122">
        <v>28</v>
      </c>
      <c r="K122">
        <v>55</v>
      </c>
      <c r="L122">
        <v>29</v>
      </c>
      <c r="M122">
        <v>53</v>
      </c>
      <c r="N122">
        <v>27</v>
      </c>
      <c r="O122">
        <v>55</v>
      </c>
      <c r="P122">
        <v>29</v>
      </c>
      <c r="Q122">
        <v>54</v>
      </c>
      <c r="R122">
        <v>28</v>
      </c>
      <c r="S122">
        <v>54</v>
      </c>
      <c r="T122">
        <v>28</v>
      </c>
      <c r="U122">
        <v>55</v>
      </c>
      <c r="V122">
        <v>28</v>
      </c>
      <c r="W122">
        <v>54.5</v>
      </c>
    </row>
    <row r="124" spans="2:23" x14ac:dyDescent="0.3">
      <c r="B124" t="s">
        <v>10</v>
      </c>
      <c r="V124">
        <f>AVERAGE(V95:V122)</f>
        <v>25.200892857142858</v>
      </c>
      <c r="W124">
        <f>AVERAGE(W95:W122)</f>
        <v>59.464285714285715</v>
      </c>
    </row>
    <row r="125" spans="2:23" x14ac:dyDescent="0.3">
      <c r="B125" t="s">
        <v>11</v>
      </c>
    </row>
    <row r="126" spans="2:23" x14ac:dyDescent="0.3">
      <c r="B126" t="s">
        <v>12</v>
      </c>
    </row>
    <row r="132" spans="2:23" x14ac:dyDescent="0.3">
      <c r="B132" t="s">
        <v>0</v>
      </c>
      <c r="C132" t="s">
        <v>1</v>
      </c>
      <c r="D132" t="s">
        <v>2</v>
      </c>
      <c r="E132" t="s">
        <v>13</v>
      </c>
      <c r="F132" t="s">
        <v>14</v>
      </c>
      <c r="G132" t="s">
        <v>15</v>
      </c>
      <c r="H132" t="s">
        <v>16</v>
      </c>
      <c r="I132" t="s">
        <v>17</v>
      </c>
      <c r="J132" t="s">
        <v>18</v>
      </c>
      <c r="K132" t="s">
        <v>19</v>
      </c>
      <c r="L132" t="s">
        <v>20</v>
      </c>
      <c r="M132" t="s">
        <v>21</v>
      </c>
      <c r="N132" t="s">
        <v>22</v>
      </c>
      <c r="O132" t="s">
        <v>23</v>
      </c>
      <c r="P132" t="s">
        <v>24</v>
      </c>
      <c r="Q132" t="s">
        <v>25</v>
      </c>
      <c r="R132" t="s">
        <v>26</v>
      </c>
      <c r="S132" t="s">
        <v>27</v>
      </c>
      <c r="T132" t="s">
        <v>28</v>
      </c>
      <c r="U132" t="s">
        <v>30</v>
      </c>
      <c r="V132" t="s">
        <v>31</v>
      </c>
      <c r="W132" t="s">
        <v>32</v>
      </c>
    </row>
    <row r="133" spans="2:23" x14ac:dyDescent="0.3">
      <c r="B133" t="s">
        <v>3</v>
      </c>
      <c r="C133" t="s">
        <v>4</v>
      </c>
      <c r="D133" t="s">
        <v>5</v>
      </c>
    </row>
    <row r="134" spans="2:23" x14ac:dyDescent="0.3">
      <c r="F134">
        <v>1</v>
      </c>
      <c r="G134">
        <v>2</v>
      </c>
      <c r="H134">
        <v>3</v>
      </c>
      <c r="I134">
        <v>4</v>
      </c>
      <c r="J134">
        <v>5</v>
      </c>
      <c r="K134">
        <v>6</v>
      </c>
      <c r="L134">
        <v>7</v>
      </c>
      <c r="M134">
        <v>8</v>
      </c>
    </row>
    <row r="135" spans="2:23" x14ac:dyDescent="0.3">
      <c r="F135" t="s">
        <v>6</v>
      </c>
      <c r="G135" t="s">
        <v>7</v>
      </c>
      <c r="H135" t="s">
        <v>6</v>
      </c>
      <c r="I135" t="s">
        <v>7</v>
      </c>
      <c r="J135" t="s">
        <v>6</v>
      </c>
      <c r="K135" t="s">
        <v>7</v>
      </c>
      <c r="L135" t="s">
        <v>6</v>
      </c>
      <c r="M135" t="s">
        <v>7</v>
      </c>
      <c r="N135" t="s">
        <v>6</v>
      </c>
      <c r="O135" t="s">
        <v>7</v>
      </c>
      <c r="P135" t="s">
        <v>6</v>
      </c>
      <c r="Q135" t="s">
        <v>7</v>
      </c>
      <c r="R135" t="s">
        <v>6</v>
      </c>
      <c r="S135" t="s">
        <v>7</v>
      </c>
      <c r="T135" t="s">
        <v>6</v>
      </c>
      <c r="U135" t="s">
        <v>7</v>
      </c>
      <c r="V135" t="s">
        <v>6</v>
      </c>
      <c r="W135" t="s">
        <v>7</v>
      </c>
    </row>
    <row r="136" spans="2:23" x14ac:dyDescent="0.3">
      <c r="B136">
        <v>1</v>
      </c>
      <c r="C136" s="6">
        <v>44949</v>
      </c>
      <c r="D136" s="7">
        <v>0.375</v>
      </c>
      <c r="E136" t="s">
        <v>29</v>
      </c>
      <c r="F136">
        <v>24</v>
      </c>
      <c r="G136">
        <v>63</v>
      </c>
      <c r="H136">
        <v>22</v>
      </c>
      <c r="I136">
        <v>66</v>
      </c>
      <c r="J136">
        <v>21</v>
      </c>
      <c r="K136">
        <v>64</v>
      </c>
      <c r="L136">
        <v>23</v>
      </c>
      <c r="M136">
        <v>65</v>
      </c>
      <c r="N136">
        <v>22</v>
      </c>
      <c r="O136">
        <v>62</v>
      </c>
      <c r="P136">
        <v>24</v>
      </c>
      <c r="Q136">
        <v>64</v>
      </c>
      <c r="R136">
        <v>21</v>
      </c>
      <c r="S136">
        <v>65</v>
      </c>
      <c r="T136">
        <v>23</v>
      </c>
      <c r="U136">
        <v>63</v>
      </c>
      <c r="V136">
        <f>AVERAGE(F136,H136,J136,L136,N136,P136,R136,T136)</f>
        <v>22.5</v>
      </c>
      <c r="W136">
        <f>AVERAGE(G136,I136,K136,M136,O136,Q136,S136,U136)</f>
        <v>64</v>
      </c>
    </row>
    <row r="137" spans="2:23" x14ac:dyDescent="0.3">
      <c r="D137" s="7">
        <v>0.45833333333333331</v>
      </c>
      <c r="E137" t="s">
        <v>29</v>
      </c>
      <c r="F137">
        <v>23</v>
      </c>
      <c r="G137">
        <v>62</v>
      </c>
      <c r="H137">
        <v>26</v>
      </c>
      <c r="I137">
        <v>60</v>
      </c>
      <c r="J137">
        <v>24</v>
      </c>
      <c r="K137">
        <v>63</v>
      </c>
      <c r="L137">
        <v>25</v>
      </c>
      <c r="M137">
        <v>61</v>
      </c>
      <c r="N137">
        <v>23</v>
      </c>
      <c r="O137">
        <v>62</v>
      </c>
      <c r="P137">
        <v>26</v>
      </c>
      <c r="Q137">
        <v>60</v>
      </c>
      <c r="R137">
        <v>24</v>
      </c>
      <c r="S137">
        <v>62</v>
      </c>
      <c r="T137">
        <v>25</v>
      </c>
      <c r="U137">
        <v>61</v>
      </c>
      <c r="V137">
        <f t="shared" ref="V137:V163" si="2">AVERAGE(F137,H137,J137,L137,N137,P137,R137,T137)</f>
        <v>24.5</v>
      </c>
      <c r="W137">
        <f t="shared" ref="W137:W163" si="3">AVERAGE(G137,I137,K137,M137,O137,Q137,S137,U137)</f>
        <v>61.375</v>
      </c>
    </row>
    <row r="138" spans="2:23" x14ac:dyDescent="0.3">
      <c r="D138" s="7">
        <v>0.54166666666666663</v>
      </c>
      <c r="E138" t="s">
        <v>29</v>
      </c>
      <c r="F138">
        <v>28</v>
      </c>
      <c r="G138">
        <v>57</v>
      </c>
      <c r="H138">
        <v>25</v>
      </c>
      <c r="I138">
        <v>60</v>
      </c>
      <c r="J138">
        <v>27</v>
      </c>
      <c r="K138">
        <v>58</v>
      </c>
      <c r="L138">
        <v>26</v>
      </c>
      <c r="M138">
        <v>60</v>
      </c>
      <c r="N138">
        <v>28</v>
      </c>
      <c r="O138">
        <v>57</v>
      </c>
      <c r="P138">
        <v>25</v>
      </c>
      <c r="Q138">
        <v>59</v>
      </c>
      <c r="R138">
        <v>27</v>
      </c>
      <c r="S138">
        <v>58</v>
      </c>
      <c r="T138">
        <v>26</v>
      </c>
      <c r="U138">
        <v>60</v>
      </c>
      <c r="V138">
        <f t="shared" si="2"/>
        <v>26.5</v>
      </c>
      <c r="W138">
        <f t="shared" si="3"/>
        <v>58.625</v>
      </c>
    </row>
    <row r="139" spans="2:23" x14ac:dyDescent="0.3">
      <c r="D139" s="7">
        <v>0.625</v>
      </c>
      <c r="E139" t="s">
        <v>29</v>
      </c>
      <c r="F139">
        <v>29</v>
      </c>
      <c r="G139">
        <v>55</v>
      </c>
      <c r="H139">
        <v>27</v>
      </c>
      <c r="I139">
        <v>56</v>
      </c>
      <c r="J139">
        <v>30</v>
      </c>
      <c r="K139">
        <v>53</v>
      </c>
      <c r="L139">
        <v>28</v>
      </c>
      <c r="M139">
        <v>56</v>
      </c>
      <c r="N139">
        <v>27</v>
      </c>
      <c r="O139">
        <v>54</v>
      </c>
      <c r="P139">
        <v>29</v>
      </c>
      <c r="Q139">
        <v>55</v>
      </c>
      <c r="R139">
        <v>27</v>
      </c>
      <c r="S139">
        <v>56</v>
      </c>
      <c r="T139">
        <v>28</v>
      </c>
      <c r="U139">
        <v>54</v>
      </c>
      <c r="V139">
        <f t="shared" si="2"/>
        <v>28.125</v>
      </c>
      <c r="W139">
        <f t="shared" si="3"/>
        <v>54.875</v>
      </c>
    </row>
    <row r="140" spans="2:23" x14ac:dyDescent="0.3">
      <c r="B140">
        <v>2</v>
      </c>
      <c r="C140" s="6">
        <v>44950</v>
      </c>
      <c r="D140" s="7">
        <v>0.375</v>
      </c>
      <c r="E140" t="s">
        <v>29</v>
      </c>
      <c r="F140">
        <v>23</v>
      </c>
      <c r="G140">
        <v>64</v>
      </c>
      <c r="H140">
        <v>21</v>
      </c>
      <c r="I140">
        <v>66</v>
      </c>
      <c r="J140">
        <v>22</v>
      </c>
      <c r="K140">
        <v>63</v>
      </c>
      <c r="L140">
        <v>24</v>
      </c>
      <c r="M140">
        <v>64</v>
      </c>
      <c r="N140">
        <v>23</v>
      </c>
      <c r="O140">
        <v>62</v>
      </c>
      <c r="P140">
        <v>22</v>
      </c>
      <c r="Q140">
        <v>65</v>
      </c>
      <c r="R140">
        <v>24</v>
      </c>
      <c r="S140">
        <v>63</v>
      </c>
      <c r="T140">
        <v>21</v>
      </c>
      <c r="U140">
        <v>64</v>
      </c>
      <c r="V140">
        <f t="shared" si="2"/>
        <v>22.5</v>
      </c>
      <c r="W140">
        <f t="shared" si="3"/>
        <v>63.875</v>
      </c>
    </row>
    <row r="141" spans="2:23" x14ac:dyDescent="0.3">
      <c r="D141" s="7">
        <v>0.45833333333333331</v>
      </c>
      <c r="E141" t="s">
        <v>29</v>
      </c>
      <c r="F141">
        <v>26</v>
      </c>
      <c r="G141">
        <v>62</v>
      </c>
      <c r="H141">
        <v>23</v>
      </c>
      <c r="I141">
        <v>61</v>
      </c>
      <c r="J141">
        <v>25</v>
      </c>
      <c r="K141">
        <v>63</v>
      </c>
      <c r="L141">
        <v>24</v>
      </c>
      <c r="M141">
        <v>62</v>
      </c>
      <c r="N141">
        <v>26</v>
      </c>
      <c r="O141">
        <v>61</v>
      </c>
      <c r="P141">
        <v>23</v>
      </c>
      <c r="Q141">
        <v>60</v>
      </c>
      <c r="R141">
        <v>25</v>
      </c>
      <c r="S141">
        <v>62</v>
      </c>
      <c r="T141">
        <v>24</v>
      </c>
      <c r="U141">
        <v>63</v>
      </c>
      <c r="V141">
        <f t="shared" si="2"/>
        <v>24.5</v>
      </c>
      <c r="W141">
        <f t="shared" si="3"/>
        <v>61.75</v>
      </c>
    </row>
    <row r="142" spans="2:23" x14ac:dyDescent="0.3">
      <c r="D142" s="7">
        <v>0.54166666666666663</v>
      </c>
      <c r="E142" t="s">
        <v>29</v>
      </c>
      <c r="F142">
        <v>25</v>
      </c>
      <c r="G142">
        <v>59</v>
      </c>
      <c r="H142">
        <v>27</v>
      </c>
      <c r="I142">
        <v>60</v>
      </c>
      <c r="J142">
        <v>26</v>
      </c>
      <c r="K142">
        <v>61</v>
      </c>
      <c r="L142">
        <v>27</v>
      </c>
      <c r="M142">
        <v>58</v>
      </c>
      <c r="N142">
        <v>25</v>
      </c>
      <c r="O142">
        <v>60</v>
      </c>
      <c r="P142">
        <v>27</v>
      </c>
      <c r="Q142">
        <v>59</v>
      </c>
      <c r="R142">
        <v>26</v>
      </c>
      <c r="S142">
        <v>60</v>
      </c>
      <c r="T142">
        <v>27</v>
      </c>
      <c r="U142">
        <v>59</v>
      </c>
      <c r="V142">
        <f t="shared" si="2"/>
        <v>26.25</v>
      </c>
      <c r="W142">
        <f t="shared" si="3"/>
        <v>59.5</v>
      </c>
    </row>
    <row r="143" spans="2:23" x14ac:dyDescent="0.3">
      <c r="D143" s="7">
        <v>0.625</v>
      </c>
      <c r="E143" t="s">
        <v>29</v>
      </c>
      <c r="F143">
        <v>28</v>
      </c>
      <c r="G143">
        <v>57</v>
      </c>
      <c r="H143">
        <v>29</v>
      </c>
      <c r="I143">
        <v>55</v>
      </c>
      <c r="J143">
        <v>27</v>
      </c>
      <c r="K143">
        <v>58</v>
      </c>
      <c r="L143">
        <v>30</v>
      </c>
      <c r="M143">
        <v>54</v>
      </c>
      <c r="N143">
        <v>28</v>
      </c>
      <c r="O143">
        <v>57</v>
      </c>
      <c r="P143">
        <v>29</v>
      </c>
      <c r="Q143">
        <v>56</v>
      </c>
      <c r="R143">
        <v>27</v>
      </c>
      <c r="S143">
        <v>57</v>
      </c>
      <c r="T143">
        <v>28</v>
      </c>
      <c r="U143">
        <v>55</v>
      </c>
      <c r="V143">
        <f t="shared" si="2"/>
        <v>28.25</v>
      </c>
      <c r="W143">
        <f t="shared" si="3"/>
        <v>56.125</v>
      </c>
    </row>
    <row r="144" spans="2:23" x14ac:dyDescent="0.3">
      <c r="B144">
        <v>3</v>
      </c>
      <c r="C144" s="6">
        <v>44951</v>
      </c>
      <c r="D144" s="7">
        <v>0.375</v>
      </c>
      <c r="E144" t="s">
        <v>29</v>
      </c>
      <c r="F144">
        <v>23</v>
      </c>
      <c r="G144">
        <v>62</v>
      </c>
      <c r="H144">
        <v>22</v>
      </c>
      <c r="I144">
        <v>66</v>
      </c>
      <c r="J144">
        <v>21</v>
      </c>
      <c r="K144">
        <v>64</v>
      </c>
      <c r="L144">
        <v>23</v>
      </c>
      <c r="M144">
        <v>65</v>
      </c>
      <c r="N144">
        <v>22</v>
      </c>
      <c r="O144">
        <v>63</v>
      </c>
      <c r="P144">
        <v>24</v>
      </c>
      <c r="Q144">
        <v>64</v>
      </c>
      <c r="R144">
        <v>21</v>
      </c>
      <c r="S144">
        <v>66</v>
      </c>
      <c r="T144">
        <v>22</v>
      </c>
      <c r="U144">
        <v>63</v>
      </c>
      <c r="V144">
        <f t="shared" si="2"/>
        <v>22.25</v>
      </c>
      <c r="W144">
        <f t="shared" si="3"/>
        <v>64.125</v>
      </c>
    </row>
    <row r="145" spans="2:23" x14ac:dyDescent="0.3">
      <c r="D145" s="7">
        <v>0.45833333333333331</v>
      </c>
      <c r="E145" t="s">
        <v>29</v>
      </c>
      <c r="F145">
        <v>26</v>
      </c>
      <c r="G145">
        <v>61</v>
      </c>
      <c r="H145">
        <v>23</v>
      </c>
      <c r="I145">
        <v>63</v>
      </c>
      <c r="J145">
        <v>25</v>
      </c>
      <c r="K145">
        <v>62</v>
      </c>
      <c r="L145">
        <v>24</v>
      </c>
      <c r="M145">
        <v>61</v>
      </c>
      <c r="N145">
        <v>26</v>
      </c>
      <c r="O145">
        <v>63</v>
      </c>
      <c r="P145">
        <v>24</v>
      </c>
      <c r="Q145">
        <v>60</v>
      </c>
      <c r="R145">
        <v>23</v>
      </c>
      <c r="S145">
        <v>62</v>
      </c>
      <c r="T145">
        <v>25</v>
      </c>
      <c r="U145">
        <v>61</v>
      </c>
      <c r="V145">
        <f t="shared" si="2"/>
        <v>24.5</v>
      </c>
      <c r="W145">
        <f t="shared" si="3"/>
        <v>61.625</v>
      </c>
    </row>
    <row r="146" spans="2:23" x14ac:dyDescent="0.3">
      <c r="D146" s="7">
        <v>0.54166666666666663</v>
      </c>
      <c r="E146" t="s">
        <v>29</v>
      </c>
      <c r="F146">
        <v>27</v>
      </c>
      <c r="G146">
        <v>61</v>
      </c>
      <c r="H146">
        <v>26</v>
      </c>
      <c r="I146">
        <v>59</v>
      </c>
      <c r="J146">
        <v>25</v>
      </c>
      <c r="K146">
        <v>60</v>
      </c>
      <c r="L146">
        <v>27</v>
      </c>
      <c r="M146">
        <v>58</v>
      </c>
      <c r="N146">
        <v>26</v>
      </c>
      <c r="O146">
        <v>61</v>
      </c>
      <c r="P146">
        <v>28</v>
      </c>
      <c r="Q146">
        <v>59</v>
      </c>
      <c r="R146">
        <v>25</v>
      </c>
      <c r="S146">
        <v>60</v>
      </c>
      <c r="T146">
        <v>27</v>
      </c>
      <c r="U146">
        <v>58</v>
      </c>
      <c r="V146">
        <f t="shared" si="2"/>
        <v>26.375</v>
      </c>
      <c r="W146">
        <f t="shared" si="3"/>
        <v>59.5</v>
      </c>
    </row>
    <row r="147" spans="2:23" x14ac:dyDescent="0.3">
      <c r="D147" s="7">
        <v>0.625</v>
      </c>
      <c r="E147" t="s">
        <v>29</v>
      </c>
      <c r="F147">
        <v>29</v>
      </c>
      <c r="G147">
        <v>55</v>
      </c>
      <c r="H147">
        <v>28</v>
      </c>
      <c r="I147">
        <v>57</v>
      </c>
      <c r="J147">
        <v>30</v>
      </c>
      <c r="K147">
        <v>54</v>
      </c>
      <c r="L147">
        <v>27</v>
      </c>
      <c r="M147">
        <v>56</v>
      </c>
      <c r="N147">
        <v>28</v>
      </c>
      <c r="O147">
        <v>55</v>
      </c>
      <c r="P147">
        <v>29</v>
      </c>
      <c r="Q147">
        <v>57</v>
      </c>
      <c r="R147">
        <v>27</v>
      </c>
      <c r="S147">
        <v>54</v>
      </c>
      <c r="T147">
        <v>28</v>
      </c>
      <c r="U147">
        <v>56</v>
      </c>
      <c r="V147">
        <f t="shared" si="2"/>
        <v>28.25</v>
      </c>
      <c r="W147">
        <f t="shared" si="3"/>
        <v>55.5</v>
      </c>
    </row>
    <row r="148" spans="2:23" x14ac:dyDescent="0.3">
      <c r="B148">
        <v>4</v>
      </c>
      <c r="C148" s="6">
        <v>44952</v>
      </c>
      <c r="D148" s="7">
        <v>0.375</v>
      </c>
      <c r="E148" t="s">
        <v>29</v>
      </c>
      <c r="F148">
        <v>24</v>
      </c>
      <c r="G148">
        <v>62</v>
      </c>
      <c r="H148">
        <v>21</v>
      </c>
      <c r="I148">
        <v>65</v>
      </c>
      <c r="J148">
        <v>22</v>
      </c>
      <c r="K148">
        <v>63</v>
      </c>
      <c r="L148">
        <v>23</v>
      </c>
      <c r="M148">
        <v>64</v>
      </c>
      <c r="N148">
        <v>24</v>
      </c>
      <c r="O148">
        <v>61</v>
      </c>
      <c r="P148">
        <v>22</v>
      </c>
      <c r="Q148">
        <v>64</v>
      </c>
      <c r="R148">
        <v>23</v>
      </c>
      <c r="S148">
        <v>62</v>
      </c>
      <c r="T148">
        <v>21</v>
      </c>
      <c r="U148">
        <v>65</v>
      </c>
      <c r="V148">
        <f t="shared" si="2"/>
        <v>22.5</v>
      </c>
      <c r="W148">
        <f t="shared" si="3"/>
        <v>63.25</v>
      </c>
    </row>
    <row r="149" spans="2:23" x14ac:dyDescent="0.3">
      <c r="D149" s="7">
        <v>0.45833333333333331</v>
      </c>
      <c r="E149" t="s">
        <v>29</v>
      </c>
      <c r="F149">
        <v>25</v>
      </c>
      <c r="G149">
        <v>62</v>
      </c>
      <c r="H149">
        <v>24</v>
      </c>
      <c r="I149">
        <v>61</v>
      </c>
      <c r="J149">
        <v>26</v>
      </c>
      <c r="K149">
        <v>60</v>
      </c>
      <c r="L149">
        <v>23</v>
      </c>
      <c r="M149">
        <v>62</v>
      </c>
      <c r="N149">
        <v>24</v>
      </c>
      <c r="O149">
        <v>63</v>
      </c>
      <c r="P149">
        <v>25</v>
      </c>
      <c r="Q149">
        <v>61</v>
      </c>
      <c r="R149">
        <v>24</v>
      </c>
      <c r="S149">
        <v>62</v>
      </c>
      <c r="T149">
        <v>26</v>
      </c>
      <c r="U149">
        <v>60</v>
      </c>
      <c r="V149">
        <f t="shared" si="2"/>
        <v>24.625</v>
      </c>
      <c r="W149">
        <f t="shared" si="3"/>
        <v>61.375</v>
      </c>
    </row>
    <row r="150" spans="2:23" x14ac:dyDescent="0.3">
      <c r="D150" s="7">
        <v>0.54166666666666663</v>
      </c>
      <c r="E150" t="s">
        <v>29</v>
      </c>
      <c r="F150">
        <v>27</v>
      </c>
      <c r="G150">
        <v>59</v>
      </c>
      <c r="H150">
        <v>26</v>
      </c>
      <c r="I150">
        <v>60</v>
      </c>
      <c r="J150">
        <v>25</v>
      </c>
      <c r="K150">
        <v>58</v>
      </c>
      <c r="L150">
        <v>28</v>
      </c>
      <c r="M150">
        <v>59</v>
      </c>
      <c r="N150">
        <v>26</v>
      </c>
      <c r="O150">
        <v>57</v>
      </c>
      <c r="P150">
        <v>27</v>
      </c>
      <c r="Q150">
        <v>58</v>
      </c>
      <c r="R150">
        <v>25</v>
      </c>
      <c r="S150">
        <v>59</v>
      </c>
      <c r="T150">
        <v>26</v>
      </c>
      <c r="U150">
        <v>58</v>
      </c>
      <c r="V150">
        <f t="shared" si="2"/>
        <v>26.25</v>
      </c>
      <c r="W150">
        <f t="shared" si="3"/>
        <v>58.5</v>
      </c>
    </row>
    <row r="151" spans="2:23" x14ac:dyDescent="0.3">
      <c r="D151" s="7">
        <v>0.625</v>
      </c>
      <c r="E151" t="s">
        <v>29</v>
      </c>
      <c r="F151">
        <v>30</v>
      </c>
      <c r="G151">
        <v>54</v>
      </c>
      <c r="H151">
        <v>28</v>
      </c>
      <c r="I151">
        <v>55</v>
      </c>
      <c r="J151">
        <v>27</v>
      </c>
      <c r="K151">
        <v>56</v>
      </c>
      <c r="L151">
        <v>29</v>
      </c>
      <c r="M151">
        <v>54</v>
      </c>
      <c r="N151">
        <v>28</v>
      </c>
      <c r="O151">
        <v>53</v>
      </c>
      <c r="P151">
        <v>27</v>
      </c>
      <c r="Q151">
        <v>55</v>
      </c>
      <c r="R151">
        <v>30</v>
      </c>
      <c r="S151">
        <v>54</v>
      </c>
      <c r="T151">
        <v>28</v>
      </c>
      <c r="U151">
        <v>55</v>
      </c>
      <c r="V151">
        <f t="shared" si="2"/>
        <v>28.375</v>
      </c>
      <c r="W151">
        <f t="shared" si="3"/>
        <v>54.5</v>
      </c>
    </row>
    <row r="152" spans="2:23" x14ac:dyDescent="0.3">
      <c r="B152">
        <v>5</v>
      </c>
      <c r="C152" s="6">
        <v>44953</v>
      </c>
      <c r="D152" s="7">
        <v>0.375</v>
      </c>
      <c r="E152" t="s">
        <v>29</v>
      </c>
      <c r="F152">
        <v>23</v>
      </c>
      <c r="G152">
        <v>62</v>
      </c>
      <c r="H152">
        <v>21</v>
      </c>
      <c r="I152">
        <v>64</v>
      </c>
      <c r="J152">
        <v>24</v>
      </c>
      <c r="K152">
        <v>63</v>
      </c>
      <c r="L152">
        <v>22</v>
      </c>
      <c r="M152">
        <v>62</v>
      </c>
      <c r="N152">
        <v>23</v>
      </c>
      <c r="O152">
        <v>63</v>
      </c>
      <c r="P152">
        <v>24</v>
      </c>
      <c r="Q152">
        <v>62</v>
      </c>
      <c r="R152">
        <v>21</v>
      </c>
      <c r="S152">
        <v>64</v>
      </c>
      <c r="T152">
        <v>22</v>
      </c>
      <c r="U152">
        <v>63</v>
      </c>
      <c r="V152">
        <f t="shared" si="2"/>
        <v>22.5</v>
      </c>
      <c r="W152">
        <f t="shared" si="3"/>
        <v>62.875</v>
      </c>
    </row>
    <row r="153" spans="2:23" x14ac:dyDescent="0.3">
      <c r="D153" s="7">
        <v>0.45833333333333331</v>
      </c>
      <c r="E153" t="s">
        <v>29</v>
      </c>
      <c r="F153">
        <v>24</v>
      </c>
      <c r="G153">
        <v>61</v>
      </c>
      <c r="H153">
        <v>26</v>
      </c>
      <c r="I153">
        <v>59</v>
      </c>
      <c r="J153">
        <v>25</v>
      </c>
      <c r="K153">
        <v>60</v>
      </c>
      <c r="L153">
        <v>23</v>
      </c>
      <c r="M153">
        <v>61</v>
      </c>
      <c r="N153">
        <v>24</v>
      </c>
      <c r="O153">
        <v>60</v>
      </c>
      <c r="P153">
        <v>25</v>
      </c>
      <c r="Q153">
        <v>61</v>
      </c>
      <c r="R153">
        <v>26</v>
      </c>
      <c r="S153">
        <v>59</v>
      </c>
      <c r="T153">
        <v>23</v>
      </c>
      <c r="U153">
        <v>60</v>
      </c>
      <c r="V153">
        <f t="shared" si="2"/>
        <v>24.5</v>
      </c>
      <c r="W153">
        <f t="shared" si="3"/>
        <v>60.125</v>
      </c>
    </row>
    <row r="154" spans="2:23" x14ac:dyDescent="0.3">
      <c r="D154" s="7">
        <v>0.54166666666666663</v>
      </c>
      <c r="E154" t="s">
        <v>29</v>
      </c>
      <c r="F154">
        <v>27</v>
      </c>
      <c r="G154">
        <v>56</v>
      </c>
      <c r="H154">
        <v>25</v>
      </c>
      <c r="I154">
        <v>58</v>
      </c>
      <c r="J154">
        <v>26</v>
      </c>
      <c r="K154">
        <v>57</v>
      </c>
      <c r="L154">
        <v>27</v>
      </c>
      <c r="M154">
        <v>59</v>
      </c>
      <c r="N154">
        <v>26</v>
      </c>
      <c r="O154">
        <v>56</v>
      </c>
      <c r="P154">
        <v>25</v>
      </c>
      <c r="Q154">
        <v>58</v>
      </c>
      <c r="R154">
        <v>27</v>
      </c>
      <c r="S154">
        <v>57</v>
      </c>
      <c r="T154">
        <v>26</v>
      </c>
      <c r="U154">
        <v>59</v>
      </c>
      <c r="V154">
        <f t="shared" si="2"/>
        <v>26.125</v>
      </c>
      <c r="W154">
        <f t="shared" si="3"/>
        <v>57.5</v>
      </c>
    </row>
    <row r="155" spans="2:23" x14ac:dyDescent="0.3">
      <c r="D155" s="7">
        <v>0.625</v>
      </c>
      <c r="E155" t="s">
        <v>29</v>
      </c>
      <c r="F155">
        <v>28</v>
      </c>
      <c r="G155">
        <v>54</v>
      </c>
      <c r="H155">
        <v>27</v>
      </c>
      <c r="I155">
        <v>56</v>
      </c>
      <c r="J155">
        <v>30</v>
      </c>
      <c r="K155">
        <v>53</v>
      </c>
      <c r="L155">
        <v>28</v>
      </c>
      <c r="M155">
        <v>55</v>
      </c>
      <c r="N155">
        <v>27</v>
      </c>
      <c r="O155">
        <v>54</v>
      </c>
      <c r="P155">
        <v>29</v>
      </c>
      <c r="Q155">
        <v>53</v>
      </c>
      <c r="R155">
        <v>28</v>
      </c>
      <c r="S155">
        <v>56</v>
      </c>
      <c r="T155">
        <v>27</v>
      </c>
      <c r="U155">
        <v>55</v>
      </c>
      <c r="V155">
        <f t="shared" si="2"/>
        <v>28</v>
      </c>
      <c r="W155">
        <f t="shared" si="3"/>
        <v>54.5</v>
      </c>
    </row>
    <row r="156" spans="2:23" x14ac:dyDescent="0.3">
      <c r="B156">
        <v>6</v>
      </c>
      <c r="C156" s="6">
        <v>44954</v>
      </c>
      <c r="D156" s="7">
        <v>0.375</v>
      </c>
      <c r="E156" t="s">
        <v>29</v>
      </c>
      <c r="F156">
        <v>22</v>
      </c>
      <c r="G156">
        <v>64</v>
      </c>
      <c r="H156">
        <v>24</v>
      </c>
      <c r="I156">
        <v>62</v>
      </c>
      <c r="J156">
        <v>21</v>
      </c>
      <c r="K156">
        <v>65</v>
      </c>
      <c r="L156">
        <v>23</v>
      </c>
      <c r="M156">
        <v>63</v>
      </c>
      <c r="N156">
        <v>22</v>
      </c>
      <c r="O156">
        <v>64</v>
      </c>
      <c r="P156">
        <v>21</v>
      </c>
      <c r="Q156">
        <v>63</v>
      </c>
      <c r="R156">
        <v>23</v>
      </c>
      <c r="S156">
        <v>62</v>
      </c>
      <c r="T156">
        <v>22</v>
      </c>
      <c r="U156">
        <v>65</v>
      </c>
      <c r="V156">
        <f t="shared" si="2"/>
        <v>22.25</v>
      </c>
      <c r="W156">
        <f t="shared" si="3"/>
        <v>63.5</v>
      </c>
    </row>
    <row r="157" spans="2:23" x14ac:dyDescent="0.3">
      <c r="D157" s="7">
        <v>0.45833333333333331</v>
      </c>
      <c r="E157" t="s">
        <v>29</v>
      </c>
      <c r="F157">
        <v>25</v>
      </c>
      <c r="G157">
        <v>60</v>
      </c>
      <c r="H157">
        <v>24</v>
      </c>
      <c r="I157">
        <v>62</v>
      </c>
      <c r="J157">
        <v>23</v>
      </c>
      <c r="K157">
        <v>61</v>
      </c>
      <c r="L157">
        <v>26</v>
      </c>
      <c r="M157">
        <v>59</v>
      </c>
      <c r="N157">
        <v>25</v>
      </c>
      <c r="O157">
        <v>60</v>
      </c>
      <c r="P157">
        <v>24</v>
      </c>
      <c r="Q157">
        <v>62</v>
      </c>
      <c r="R157">
        <v>23</v>
      </c>
      <c r="S157">
        <v>61</v>
      </c>
      <c r="T157">
        <v>24</v>
      </c>
      <c r="U157">
        <v>60</v>
      </c>
      <c r="V157">
        <f t="shared" si="2"/>
        <v>24.25</v>
      </c>
      <c r="W157">
        <f t="shared" si="3"/>
        <v>60.625</v>
      </c>
    </row>
    <row r="158" spans="2:23" x14ac:dyDescent="0.3">
      <c r="D158" s="7">
        <v>0.54166666666666663</v>
      </c>
      <c r="E158" t="s">
        <v>29</v>
      </c>
      <c r="F158">
        <v>26</v>
      </c>
      <c r="G158">
        <v>58</v>
      </c>
      <c r="H158">
        <v>27</v>
      </c>
      <c r="I158">
        <v>57</v>
      </c>
      <c r="J158">
        <v>25</v>
      </c>
      <c r="K158">
        <v>59</v>
      </c>
      <c r="L158">
        <v>26</v>
      </c>
      <c r="M158">
        <v>57</v>
      </c>
      <c r="N158">
        <v>27</v>
      </c>
      <c r="O158">
        <v>56</v>
      </c>
      <c r="P158">
        <v>25</v>
      </c>
      <c r="Q158">
        <v>58</v>
      </c>
      <c r="R158">
        <v>26</v>
      </c>
      <c r="S158">
        <v>57</v>
      </c>
      <c r="T158">
        <v>27</v>
      </c>
      <c r="U158">
        <v>58</v>
      </c>
      <c r="V158">
        <f t="shared" si="2"/>
        <v>26.125</v>
      </c>
      <c r="W158">
        <f t="shared" si="3"/>
        <v>57.5</v>
      </c>
    </row>
    <row r="159" spans="2:23" x14ac:dyDescent="0.3">
      <c r="D159" s="7">
        <v>0.625</v>
      </c>
      <c r="E159" t="s">
        <v>29</v>
      </c>
      <c r="F159">
        <v>29</v>
      </c>
      <c r="G159">
        <v>54</v>
      </c>
      <c r="H159">
        <v>27</v>
      </c>
      <c r="I159">
        <v>55</v>
      </c>
      <c r="J159">
        <v>28</v>
      </c>
      <c r="K159">
        <v>54</v>
      </c>
      <c r="L159">
        <v>30</v>
      </c>
      <c r="M159">
        <v>53</v>
      </c>
      <c r="N159">
        <v>27</v>
      </c>
      <c r="O159">
        <v>55</v>
      </c>
      <c r="P159">
        <v>28</v>
      </c>
      <c r="Q159">
        <v>54</v>
      </c>
      <c r="R159">
        <v>29</v>
      </c>
      <c r="S159">
        <v>53</v>
      </c>
      <c r="T159">
        <v>27</v>
      </c>
      <c r="U159">
        <v>54</v>
      </c>
      <c r="V159">
        <f t="shared" si="2"/>
        <v>28.125</v>
      </c>
      <c r="W159">
        <f t="shared" si="3"/>
        <v>54</v>
      </c>
    </row>
    <row r="160" spans="2:23" x14ac:dyDescent="0.3">
      <c r="B160">
        <v>7</v>
      </c>
      <c r="C160" s="6">
        <v>44955</v>
      </c>
      <c r="D160" s="7">
        <v>0.375</v>
      </c>
      <c r="E160" t="s">
        <v>29</v>
      </c>
      <c r="F160">
        <v>22</v>
      </c>
      <c r="G160">
        <v>65</v>
      </c>
      <c r="H160">
        <v>23</v>
      </c>
      <c r="I160">
        <v>63</v>
      </c>
      <c r="J160">
        <v>24</v>
      </c>
      <c r="K160">
        <v>62</v>
      </c>
      <c r="L160">
        <v>21</v>
      </c>
      <c r="M160">
        <v>64</v>
      </c>
      <c r="N160">
        <v>23</v>
      </c>
      <c r="O160">
        <v>63</v>
      </c>
      <c r="P160">
        <v>22</v>
      </c>
      <c r="Q160">
        <v>62</v>
      </c>
      <c r="R160">
        <v>24</v>
      </c>
      <c r="S160">
        <v>63</v>
      </c>
      <c r="T160">
        <v>21</v>
      </c>
      <c r="U160">
        <v>64</v>
      </c>
      <c r="V160">
        <f t="shared" si="2"/>
        <v>22.5</v>
      </c>
      <c r="W160">
        <f t="shared" si="3"/>
        <v>63.25</v>
      </c>
    </row>
    <row r="161" spans="2:23" x14ac:dyDescent="0.3">
      <c r="D161" s="7">
        <v>0.45833333333333331</v>
      </c>
      <c r="E161" t="s">
        <v>29</v>
      </c>
      <c r="F161">
        <v>25</v>
      </c>
      <c r="G161">
        <v>60</v>
      </c>
      <c r="H161">
        <v>24</v>
      </c>
      <c r="I161">
        <v>61</v>
      </c>
      <c r="J161">
        <v>23</v>
      </c>
      <c r="K161">
        <v>62</v>
      </c>
      <c r="L161">
        <v>26</v>
      </c>
      <c r="M161">
        <v>59</v>
      </c>
      <c r="N161">
        <v>25</v>
      </c>
      <c r="O161">
        <v>60</v>
      </c>
      <c r="P161">
        <v>24</v>
      </c>
      <c r="Q161">
        <v>62</v>
      </c>
      <c r="R161">
        <v>23</v>
      </c>
      <c r="S161">
        <v>61</v>
      </c>
      <c r="T161">
        <v>25</v>
      </c>
      <c r="U161">
        <v>59</v>
      </c>
      <c r="V161">
        <f t="shared" si="2"/>
        <v>24.375</v>
      </c>
      <c r="W161">
        <f t="shared" si="3"/>
        <v>60.5</v>
      </c>
    </row>
    <row r="162" spans="2:23" x14ac:dyDescent="0.3">
      <c r="D162" s="7">
        <v>0.54166666666666663</v>
      </c>
      <c r="E162" t="s">
        <v>29</v>
      </c>
      <c r="F162">
        <v>26</v>
      </c>
      <c r="G162">
        <v>59</v>
      </c>
      <c r="H162">
        <v>27</v>
      </c>
      <c r="I162">
        <v>57</v>
      </c>
      <c r="J162">
        <v>25</v>
      </c>
      <c r="K162">
        <v>58</v>
      </c>
      <c r="L162">
        <v>26</v>
      </c>
      <c r="M162">
        <v>60</v>
      </c>
      <c r="N162">
        <v>27</v>
      </c>
      <c r="O162">
        <v>56</v>
      </c>
      <c r="P162">
        <v>26</v>
      </c>
      <c r="Q162">
        <v>58</v>
      </c>
      <c r="R162">
        <v>25</v>
      </c>
      <c r="S162">
        <v>59</v>
      </c>
      <c r="T162">
        <v>27</v>
      </c>
      <c r="U162">
        <v>57</v>
      </c>
      <c r="V162">
        <f t="shared" si="2"/>
        <v>26.125</v>
      </c>
      <c r="W162">
        <f t="shared" si="3"/>
        <v>58</v>
      </c>
    </row>
    <row r="163" spans="2:23" x14ac:dyDescent="0.3">
      <c r="D163" s="7">
        <v>0.625</v>
      </c>
      <c r="E163" t="s">
        <v>29</v>
      </c>
      <c r="F163">
        <v>28</v>
      </c>
      <c r="G163">
        <v>56</v>
      </c>
      <c r="H163">
        <v>27</v>
      </c>
      <c r="I163">
        <v>54</v>
      </c>
      <c r="J163">
        <v>29</v>
      </c>
      <c r="K163">
        <v>55</v>
      </c>
      <c r="L163">
        <v>28</v>
      </c>
      <c r="M163">
        <v>57</v>
      </c>
      <c r="N163">
        <v>27</v>
      </c>
      <c r="O163">
        <v>56</v>
      </c>
      <c r="P163">
        <v>29</v>
      </c>
      <c r="Q163">
        <v>54</v>
      </c>
      <c r="R163">
        <v>28</v>
      </c>
      <c r="S163">
        <v>55</v>
      </c>
      <c r="T163">
        <v>27</v>
      </c>
      <c r="U163">
        <v>56</v>
      </c>
      <c r="V163">
        <f t="shared" si="2"/>
        <v>27.875</v>
      </c>
      <c r="W163">
        <f t="shared" si="3"/>
        <v>55.375</v>
      </c>
    </row>
    <row r="164" spans="2:23" x14ac:dyDescent="0.3">
      <c r="V164">
        <f>AVERAGE(V136:V163)</f>
        <v>25.321428571428573</v>
      </c>
      <c r="W164">
        <f>AVERAGE(W136:W163)</f>
        <v>59.508928571428569</v>
      </c>
    </row>
    <row r="165" spans="2:23" x14ac:dyDescent="0.3">
      <c r="B165" t="s">
        <v>10</v>
      </c>
    </row>
    <row r="166" spans="2:23" x14ac:dyDescent="0.3">
      <c r="B166" t="s">
        <v>11</v>
      </c>
      <c r="F166">
        <f>MIN(F136:F163)</f>
        <v>22</v>
      </c>
      <c r="G166">
        <f t="shared" ref="G166:U166" si="4">MIN(G136:G163)</f>
        <v>54</v>
      </c>
      <c r="H166">
        <f t="shared" si="4"/>
        <v>21</v>
      </c>
      <c r="I166">
        <f t="shared" si="4"/>
        <v>54</v>
      </c>
      <c r="J166">
        <f t="shared" si="4"/>
        <v>21</v>
      </c>
      <c r="K166">
        <f t="shared" si="4"/>
        <v>53</v>
      </c>
      <c r="L166">
        <f t="shared" si="4"/>
        <v>21</v>
      </c>
      <c r="M166">
        <f t="shared" si="4"/>
        <v>53</v>
      </c>
      <c r="N166">
        <f t="shared" si="4"/>
        <v>22</v>
      </c>
      <c r="O166">
        <f t="shared" si="4"/>
        <v>53</v>
      </c>
      <c r="P166">
        <f t="shared" si="4"/>
        <v>21</v>
      </c>
      <c r="Q166">
        <f t="shared" si="4"/>
        <v>53</v>
      </c>
      <c r="R166">
        <f t="shared" si="4"/>
        <v>21</v>
      </c>
      <c r="S166">
        <f t="shared" si="4"/>
        <v>53</v>
      </c>
      <c r="T166">
        <f t="shared" si="4"/>
        <v>21</v>
      </c>
      <c r="U166">
        <f t="shared" si="4"/>
        <v>54</v>
      </c>
    </row>
    <row r="167" spans="2:23" x14ac:dyDescent="0.3">
      <c r="B167" t="s">
        <v>12</v>
      </c>
      <c r="F167">
        <f>MAX(F136:F163)</f>
        <v>30</v>
      </c>
      <c r="G167">
        <f t="shared" ref="G167:U167" si="5">MAX(G136:G163)</f>
        <v>65</v>
      </c>
      <c r="H167">
        <f t="shared" si="5"/>
        <v>29</v>
      </c>
      <c r="I167">
        <f t="shared" si="5"/>
        <v>66</v>
      </c>
      <c r="J167">
        <f t="shared" si="5"/>
        <v>30</v>
      </c>
      <c r="K167">
        <f t="shared" si="5"/>
        <v>65</v>
      </c>
      <c r="L167">
        <f t="shared" si="5"/>
        <v>30</v>
      </c>
      <c r="M167">
        <f t="shared" si="5"/>
        <v>65</v>
      </c>
      <c r="N167">
        <f t="shared" si="5"/>
        <v>28</v>
      </c>
      <c r="O167">
        <f t="shared" si="5"/>
        <v>64</v>
      </c>
      <c r="P167">
        <f t="shared" si="5"/>
        <v>29</v>
      </c>
      <c r="Q167">
        <f t="shared" si="5"/>
        <v>65</v>
      </c>
      <c r="R167">
        <f t="shared" si="5"/>
        <v>30</v>
      </c>
      <c r="S167">
        <f t="shared" si="5"/>
        <v>66</v>
      </c>
      <c r="T167">
        <f t="shared" si="5"/>
        <v>28</v>
      </c>
      <c r="U167">
        <f t="shared" si="5"/>
        <v>65</v>
      </c>
    </row>
    <row r="174" spans="2:23" ht="15" thickBot="1" x14ac:dyDescent="0.35"/>
    <row r="175" spans="2:23" ht="15" thickBot="1" x14ac:dyDescent="0.35">
      <c r="C175" s="12" t="s">
        <v>0</v>
      </c>
      <c r="D175" s="12" t="s">
        <v>1</v>
      </c>
      <c r="E175" s="12" t="s">
        <v>2</v>
      </c>
      <c r="F175" s="1"/>
      <c r="G175" s="16" t="s">
        <v>4</v>
      </c>
      <c r="H175" s="15"/>
      <c r="I175" s="15"/>
      <c r="J175" s="15"/>
      <c r="K175" s="15"/>
      <c r="L175" s="15"/>
      <c r="M175" s="15"/>
      <c r="N175" s="15"/>
      <c r="O175" s="15"/>
      <c r="P175" s="32"/>
      <c r="Q175" s="34" t="s">
        <v>5</v>
      </c>
      <c r="R175" s="33"/>
      <c r="S175" s="35"/>
    </row>
    <row r="176" spans="2:23" ht="15" thickBot="1" x14ac:dyDescent="0.35">
      <c r="C176" s="13"/>
      <c r="D176" s="13"/>
      <c r="E176" s="13"/>
      <c r="F176" s="2" t="s">
        <v>3</v>
      </c>
      <c r="G176" s="19">
        <v>1</v>
      </c>
      <c r="H176" s="20"/>
      <c r="I176" s="19">
        <v>2</v>
      </c>
      <c r="J176" s="20"/>
      <c r="K176" s="19">
        <v>3</v>
      </c>
      <c r="L176" s="20"/>
      <c r="M176" s="19">
        <v>4</v>
      </c>
      <c r="N176" s="20"/>
      <c r="O176" s="36">
        <v>5</v>
      </c>
      <c r="P176" s="18"/>
      <c r="Q176" s="37"/>
      <c r="R176" s="38"/>
      <c r="S176" s="39"/>
    </row>
    <row r="177" spans="3:19" ht="15" thickBot="1" x14ac:dyDescent="0.35">
      <c r="C177" s="14"/>
      <c r="D177" s="14"/>
      <c r="E177" s="14"/>
      <c r="F177" s="3"/>
      <c r="G177" s="4" t="s">
        <v>6</v>
      </c>
      <c r="H177" s="4" t="s">
        <v>7</v>
      </c>
      <c r="I177" s="4" t="s">
        <v>6</v>
      </c>
      <c r="J177" s="4" t="s">
        <v>7</v>
      </c>
      <c r="K177" s="4" t="s">
        <v>6</v>
      </c>
      <c r="L177" s="4" t="s">
        <v>7</v>
      </c>
      <c r="M177" s="4" t="s">
        <v>6</v>
      </c>
      <c r="N177" s="4" t="s">
        <v>7</v>
      </c>
      <c r="O177" s="4" t="s">
        <v>6</v>
      </c>
      <c r="P177" s="40" t="s">
        <v>7</v>
      </c>
      <c r="Q177" s="41"/>
      <c r="R177" s="5" t="s">
        <v>6</v>
      </c>
      <c r="S177" s="4" t="s">
        <v>7</v>
      </c>
    </row>
    <row r="178" spans="3:19" ht="15" thickBot="1" x14ac:dyDescent="0.35">
      <c r="C178" s="24">
        <v>1</v>
      </c>
      <c r="D178" s="26">
        <v>44949</v>
      </c>
      <c r="E178" s="8">
        <v>0.375</v>
      </c>
      <c r="F178" s="9" t="s">
        <v>33</v>
      </c>
      <c r="G178" s="9">
        <v>22</v>
      </c>
      <c r="H178" s="9">
        <v>63</v>
      </c>
      <c r="I178" s="9">
        <v>22</v>
      </c>
      <c r="J178" s="9">
        <v>64</v>
      </c>
      <c r="K178" s="9">
        <v>23</v>
      </c>
      <c r="L178" s="9">
        <v>63</v>
      </c>
      <c r="M178" s="9">
        <v>23</v>
      </c>
      <c r="N178" s="9">
        <v>62</v>
      </c>
      <c r="O178" s="9">
        <v>22</v>
      </c>
      <c r="P178" s="42">
        <v>63</v>
      </c>
      <c r="Q178" s="43"/>
      <c r="R178" s="9">
        <v>22.4</v>
      </c>
      <c r="S178" s="9">
        <v>63</v>
      </c>
    </row>
    <row r="179" spans="3:19" ht="15" thickBot="1" x14ac:dyDescent="0.35">
      <c r="C179" s="23"/>
      <c r="D179" s="27"/>
      <c r="E179" s="10">
        <v>0.45833333333333331</v>
      </c>
      <c r="F179" s="4" t="s">
        <v>33</v>
      </c>
      <c r="G179" s="4">
        <v>25</v>
      </c>
      <c r="H179" s="4">
        <v>60</v>
      </c>
      <c r="I179" s="4">
        <v>24</v>
      </c>
      <c r="J179" s="4">
        <v>62</v>
      </c>
      <c r="K179" s="4">
        <v>25</v>
      </c>
      <c r="L179" s="4">
        <v>61</v>
      </c>
      <c r="M179" s="4">
        <v>24</v>
      </c>
      <c r="N179" s="4">
        <v>60</v>
      </c>
      <c r="O179" s="4">
        <v>24</v>
      </c>
      <c r="P179" s="40">
        <v>61</v>
      </c>
      <c r="Q179" s="41"/>
      <c r="R179" s="11">
        <v>24.4</v>
      </c>
      <c r="S179" s="11">
        <v>60.8</v>
      </c>
    </row>
    <row r="180" spans="3:19" ht="15" thickBot="1" x14ac:dyDescent="0.35">
      <c r="C180" s="23"/>
      <c r="D180" s="27"/>
      <c r="E180" s="8">
        <v>0.54166666666666663</v>
      </c>
      <c r="F180" s="9" t="s">
        <v>33</v>
      </c>
      <c r="G180" s="9">
        <v>27</v>
      </c>
      <c r="H180" s="9">
        <v>57</v>
      </c>
      <c r="I180" s="9">
        <v>26</v>
      </c>
      <c r="J180" s="9">
        <v>59</v>
      </c>
      <c r="K180" s="9">
        <v>27</v>
      </c>
      <c r="L180" s="9">
        <v>58</v>
      </c>
      <c r="M180" s="9">
        <v>27</v>
      </c>
      <c r="N180" s="9">
        <v>57</v>
      </c>
      <c r="O180" s="9">
        <v>26</v>
      </c>
      <c r="P180" s="42">
        <v>58</v>
      </c>
      <c r="Q180" s="43"/>
      <c r="R180" s="9">
        <v>26.6</v>
      </c>
      <c r="S180" s="9">
        <v>57.8</v>
      </c>
    </row>
    <row r="181" spans="3:19" ht="15" thickBot="1" x14ac:dyDescent="0.35">
      <c r="C181" s="25"/>
      <c r="D181" s="28"/>
      <c r="E181" s="10">
        <v>0.625</v>
      </c>
      <c r="F181" s="4" t="s">
        <v>33</v>
      </c>
      <c r="G181" s="4">
        <v>29</v>
      </c>
      <c r="H181" s="4">
        <v>54</v>
      </c>
      <c r="I181" s="4">
        <v>28</v>
      </c>
      <c r="J181" s="4">
        <v>56</v>
      </c>
      <c r="K181" s="4">
        <v>29</v>
      </c>
      <c r="L181" s="4">
        <v>55</v>
      </c>
      <c r="M181" s="4">
        <v>28</v>
      </c>
      <c r="N181" s="4">
        <v>54</v>
      </c>
      <c r="O181" s="4">
        <v>28</v>
      </c>
      <c r="P181" s="40">
        <v>54</v>
      </c>
      <c r="Q181" s="41"/>
      <c r="R181" s="11">
        <v>28.4</v>
      </c>
      <c r="S181" s="11">
        <v>54.6</v>
      </c>
    </row>
    <row r="182" spans="3:19" ht="15" thickBot="1" x14ac:dyDescent="0.35">
      <c r="C182" s="24">
        <v>2</v>
      </c>
      <c r="D182" s="26">
        <v>44950</v>
      </c>
      <c r="E182" s="8">
        <v>0.375</v>
      </c>
      <c r="F182" s="9" t="s">
        <v>33</v>
      </c>
      <c r="G182" s="9">
        <v>22</v>
      </c>
      <c r="H182" s="9">
        <v>65</v>
      </c>
      <c r="I182" s="9">
        <v>23</v>
      </c>
      <c r="J182" s="9">
        <v>63</v>
      </c>
      <c r="K182" s="9">
        <v>21</v>
      </c>
      <c r="L182" s="9">
        <v>64</v>
      </c>
      <c r="M182" s="9">
        <v>21</v>
      </c>
      <c r="N182" s="9">
        <v>63</v>
      </c>
      <c r="O182" s="9">
        <v>22</v>
      </c>
      <c r="P182" s="42">
        <v>62</v>
      </c>
      <c r="Q182" s="43"/>
      <c r="R182" s="9">
        <v>21.8</v>
      </c>
      <c r="S182" s="9">
        <v>63.4</v>
      </c>
    </row>
    <row r="183" spans="3:19" ht="15" thickBot="1" x14ac:dyDescent="0.35">
      <c r="C183" s="23"/>
      <c r="D183" s="27"/>
      <c r="E183" s="10">
        <v>0.45833333333333331</v>
      </c>
      <c r="F183" s="4" t="s">
        <v>33</v>
      </c>
      <c r="G183" s="4">
        <v>26</v>
      </c>
      <c r="H183" s="4">
        <v>62</v>
      </c>
      <c r="I183" s="4">
        <v>25</v>
      </c>
      <c r="J183" s="4">
        <v>61</v>
      </c>
      <c r="K183" s="4">
        <v>23</v>
      </c>
      <c r="L183" s="4">
        <v>62</v>
      </c>
      <c r="M183" s="4">
        <v>23</v>
      </c>
      <c r="N183" s="4">
        <v>61</v>
      </c>
      <c r="O183" s="4">
        <v>25</v>
      </c>
      <c r="P183" s="40">
        <v>60</v>
      </c>
      <c r="Q183" s="41"/>
      <c r="R183" s="11">
        <v>24.4</v>
      </c>
      <c r="S183" s="11">
        <v>61.2</v>
      </c>
    </row>
    <row r="184" spans="3:19" ht="15" thickBot="1" x14ac:dyDescent="0.35">
      <c r="C184" s="23"/>
      <c r="D184" s="27"/>
      <c r="E184" s="8">
        <v>0.54166666666666663</v>
      </c>
      <c r="F184" s="9" t="s">
        <v>33</v>
      </c>
      <c r="G184" s="9">
        <v>27</v>
      </c>
      <c r="H184" s="9">
        <v>59</v>
      </c>
      <c r="I184" s="9">
        <v>27</v>
      </c>
      <c r="J184" s="9">
        <v>58</v>
      </c>
      <c r="K184" s="9">
        <v>25</v>
      </c>
      <c r="L184" s="9">
        <v>59</v>
      </c>
      <c r="M184" s="9">
        <v>26</v>
      </c>
      <c r="N184" s="9">
        <v>58</v>
      </c>
      <c r="O184" s="9">
        <v>27</v>
      </c>
      <c r="P184" s="42">
        <v>57</v>
      </c>
      <c r="Q184" s="43"/>
      <c r="R184" s="9">
        <v>26.4</v>
      </c>
      <c r="S184" s="9">
        <v>58.2</v>
      </c>
    </row>
    <row r="185" spans="3:19" ht="15" thickBot="1" x14ac:dyDescent="0.35">
      <c r="C185" s="25"/>
      <c r="D185" s="28"/>
      <c r="E185" s="10">
        <v>0.625</v>
      </c>
      <c r="F185" s="4" t="s">
        <v>33</v>
      </c>
      <c r="G185" s="4">
        <v>30</v>
      </c>
      <c r="H185" s="4">
        <v>55</v>
      </c>
      <c r="I185" s="4">
        <v>28</v>
      </c>
      <c r="J185" s="4">
        <v>55</v>
      </c>
      <c r="K185" s="4">
        <v>27</v>
      </c>
      <c r="L185" s="4">
        <v>56</v>
      </c>
      <c r="M185" s="4">
        <v>27</v>
      </c>
      <c r="N185" s="4">
        <v>54</v>
      </c>
      <c r="O185" s="4">
        <v>27</v>
      </c>
      <c r="P185" s="40">
        <v>54</v>
      </c>
      <c r="Q185" s="41"/>
      <c r="R185" s="11">
        <v>27.8</v>
      </c>
      <c r="S185" s="11">
        <v>54.8</v>
      </c>
    </row>
    <row r="186" spans="3:19" ht="15" thickBot="1" x14ac:dyDescent="0.35">
      <c r="C186" s="24">
        <v>3</v>
      </c>
      <c r="D186" s="26">
        <v>44951</v>
      </c>
      <c r="E186" s="8">
        <v>0.375</v>
      </c>
      <c r="F186" s="9" t="s">
        <v>33</v>
      </c>
      <c r="G186" s="9">
        <v>23</v>
      </c>
      <c r="H186" s="9">
        <v>64</v>
      </c>
      <c r="I186" s="9">
        <v>22</v>
      </c>
      <c r="J186" s="9">
        <v>65</v>
      </c>
      <c r="K186" s="9">
        <v>22</v>
      </c>
      <c r="L186" s="9">
        <v>63</v>
      </c>
      <c r="M186" s="9">
        <v>23</v>
      </c>
      <c r="N186" s="9">
        <v>63</v>
      </c>
      <c r="O186" s="9">
        <v>22</v>
      </c>
      <c r="P186" s="42">
        <v>62</v>
      </c>
      <c r="Q186" s="43"/>
      <c r="R186" s="9">
        <v>22.4</v>
      </c>
      <c r="S186" s="9">
        <v>63.4</v>
      </c>
    </row>
    <row r="187" spans="3:19" ht="15" thickBot="1" x14ac:dyDescent="0.35">
      <c r="C187" s="23"/>
      <c r="D187" s="27"/>
      <c r="E187" s="10">
        <v>0.45833333333333331</v>
      </c>
      <c r="F187" s="4" t="s">
        <v>33</v>
      </c>
      <c r="G187" s="4">
        <v>25</v>
      </c>
      <c r="H187" s="4">
        <v>61</v>
      </c>
      <c r="I187" s="4">
        <v>24</v>
      </c>
      <c r="J187" s="4">
        <v>63</v>
      </c>
      <c r="K187" s="4">
        <v>24</v>
      </c>
      <c r="L187" s="4">
        <v>61</v>
      </c>
      <c r="M187" s="4">
        <v>25</v>
      </c>
      <c r="N187" s="4">
        <v>60</v>
      </c>
      <c r="O187" s="4">
        <v>24</v>
      </c>
      <c r="P187" s="40">
        <v>59</v>
      </c>
      <c r="Q187" s="41"/>
      <c r="R187" s="11">
        <v>24.4</v>
      </c>
      <c r="S187" s="11">
        <v>60.8</v>
      </c>
    </row>
    <row r="188" spans="3:19" ht="15" thickBot="1" x14ac:dyDescent="0.35">
      <c r="C188" s="23"/>
      <c r="D188" s="27"/>
      <c r="E188" s="8">
        <v>0.54166666666666663</v>
      </c>
      <c r="F188" s="9" t="s">
        <v>33</v>
      </c>
      <c r="G188" s="9">
        <v>27</v>
      </c>
      <c r="H188" s="9">
        <v>58</v>
      </c>
      <c r="I188" s="9">
        <v>26</v>
      </c>
      <c r="J188" s="9">
        <v>60</v>
      </c>
      <c r="K188" s="9">
        <v>26</v>
      </c>
      <c r="L188" s="9">
        <v>58</v>
      </c>
      <c r="M188" s="9">
        <v>27</v>
      </c>
      <c r="N188" s="9">
        <v>57</v>
      </c>
      <c r="O188" s="9">
        <v>27</v>
      </c>
      <c r="P188" s="42">
        <v>56</v>
      </c>
      <c r="Q188" s="43"/>
      <c r="R188" s="9">
        <v>26.6</v>
      </c>
      <c r="S188" s="9">
        <v>57.8</v>
      </c>
    </row>
    <row r="189" spans="3:19" ht="15" thickBot="1" x14ac:dyDescent="0.35">
      <c r="C189" s="25"/>
      <c r="D189" s="28"/>
      <c r="E189" s="10">
        <v>0.625</v>
      </c>
      <c r="F189" s="4" t="s">
        <v>33</v>
      </c>
      <c r="G189" s="4">
        <v>30</v>
      </c>
      <c r="H189" s="4">
        <v>55</v>
      </c>
      <c r="I189" s="4">
        <v>27</v>
      </c>
      <c r="J189" s="4">
        <v>57</v>
      </c>
      <c r="K189" s="4">
        <v>27</v>
      </c>
      <c r="L189" s="4">
        <v>55</v>
      </c>
      <c r="M189" s="4">
        <v>28</v>
      </c>
      <c r="N189" s="4">
        <v>54</v>
      </c>
      <c r="O189" s="4">
        <v>29</v>
      </c>
      <c r="P189" s="40">
        <v>53</v>
      </c>
      <c r="Q189" s="41"/>
      <c r="R189" s="11">
        <v>28.2</v>
      </c>
      <c r="S189" s="11">
        <v>54.8</v>
      </c>
    </row>
    <row r="190" spans="3:19" ht="15" thickBot="1" x14ac:dyDescent="0.35">
      <c r="C190" s="24">
        <v>4</v>
      </c>
      <c r="D190" s="26">
        <v>44952</v>
      </c>
      <c r="E190" s="8">
        <v>0.375</v>
      </c>
      <c r="F190" s="9" t="s">
        <v>33</v>
      </c>
      <c r="G190" s="9">
        <v>24</v>
      </c>
      <c r="H190" s="9">
        <v>63</v>
      </c>
      <c r="I190" s="9">
        <v>23</v>
      </c>
      <c r="J190" s="9">
        <v>64</v>
      </c>
      <c r="K190" s="9">
        <v>23</v>
      </c>
      <c r="L190" s="9">
        <v>62</v>
      </c>
      <c r="M190" s="9">
        <v>22</v>
      </c>
      <c r="N190" s="9">
        <v>63</v>
      </c>
      <c r="O190" s="9">
        <v>21</v>
      </c>
      <c r="P190" s="42">
        <v>63</v>
      </c>
      <c r="Q190" s="43"/>
      <c r="R190" s="9">
        <v>22.6</v>
      </c>
      <c r="S190" s="9">
        <v>63</v>
      </c>
    </row>
    <row r="191" spans="3:19" ht="15" thickBot="1" x14ac:dyDescent="0.35">
      <c r="C191" s="23"/>
      <c r="D191" s="27"/>
      <c r="E191" s="10">
        <v>0.45833333333333331</v>
      </c>
      <c r="F191" s="4" t="s">
        <v>33</v>
      </c>
      <c r="G191" s="4">
        <v>25</v>
      </c>
      <c r="H191" s="4">
        <v>60</v>
      </c>
      <c r="I191" s="4">
        <v>25</v>
      </c>
      <c r="J191" s="4">
        <v>61</v>
      </c>
      <c r="K191" s="4">
        <v>25</v>
      </c>
      <c r="L191" s="4">
        <v>60</v>
      </c>
      <c r="M191" s="4">
        <v>24</v>
      </c>
      <c r="N191" s="4">
        <v>61</v>
      </c>
      <c r="O191" s="4">
        <v>23</v>
      </c>
      <c r="P191" s="40">
        <v>60</v>
      </c>
      <c r="Q191" s="41"/>
      <c r="R191" s="11">
        <v>24.4</v>
      </c>
      <c r="S191" s="11">
        <v>60.4</v>
      </c>
    </row>
    <row r="192" spans="3:19" ht="15" thickBot="1" x14ac:dyDescent="0.35">
      <c r="C192" s="23"/>
      <c r="D192" s="27"/>
      <c r="E192" s="8">
        <v>0.54166666666666663</v>
      </c>
      <c r="F192" s="9" t="s">
        <v>33</v>
      </c>
      <c r="G192" s="9">
        <v>28</v>
      </c>
      <c r="H192" s="9">
        <v>57</v>
      </c>
      <c r="I192" s="9">
        <v>27</v>
      </c>
      <c r="J192" s="9">
        <v>59</v>
      </c>
      <c r="K192" s="9">
        <v>27</v>
      </c>
      <c r="L192" s="9">
        <v>57</v>
      </c>
      <c r="M192" s="9">
        <v>26</v>
      </c>
      <c r="N192" s="9">
        <v>58</v>
      </c>
      <c r="O192" s="9">
        <v>25</v>
      </c>
      <c r="P192" s="42">
        <v>56</v>
      </c>
      <c r="Q192" s="43"/>
      <c r="R192" s="9">
        <v>26.6</v>
      </c>
      <c r="S192" s="9">
        <v>57.4</v>
      </c>
    </row>
    <row r="193" spans="3:19" ht="15" thickBot="1" x14ac:dyDescent="0.35">
      <c r="C193" s="25"/>
      <c r="D193" s="28"/>
      <c r="E193" s="10">
        <v>0.625</v>
      </c>
      <c r="F193" s="4" t="s">
        <v>33</v>
      </c>
      <c r="G193" s="4">
        <v>30</v>
      </c>
      <c r="H193" s="4">
        <v>54</v>
      </c>
      <c r="I193" s="4">
        <v>28</v>
      </c>
      <c r="J193" s="4">
        <v>55</v>
      </c>
      <c r="K193" s="4">
        <v>29</v>
      </c>
      <c r="L193" s="4">
        <v>54</v>
      </c>
      <c r="M193" s="4">
        <v>28</v>
      </c>
      <c r="N193" s="4">
        <v>55</v>
      </c>
      <c r="O193" s="4">
        <v>27</v>
      </c>
      <c r="P193" s="40">
        <v>54</v>
      </c>
      <c r="Q193" s="41"/>
      <c r="R193" s="11">
        <v>28.4</v>
      </c>
      <c r="S193" s="11">
        <v>54.4</v>
      </c>
    </row>
    <row r="194" spans="3:19" ht="15" thickBot="1" x14ac:dyDescent="0.35">
      <c r="C194" s="24">
        <v>5</v>
      </c>
      <c r="D194" s="26">
        <v>44953</v>
      </c>
      <c r="E194" s="8">
        <v>0.375</v>
      </c>
      <c r="F194" s="9" t="s">
        <v>33</v>
      </c>
      <c r="G194" s="9">
        <v>23</v>
      </c>
      <c r="H194" s="9">
        <v>64</v>
      </c>
      <c r="I194" s="9">
        <v>23</v>
      </c>
      <c r="J194" s="9">
        <v>63</v>
      </c>
      <c r="K194" s="9">
        <v>22</v>
      </c>
      <c r="L194" s="9">
        <v>63</v>
      </c>
      <c r="M194" s="9">
        <v>22</v>
      </c>
      <c r="N194" s="9">
        <v>62</v>
      </c>
      <c r="O194" s="9">
        <v>23</v>
      </c>
      <c r="P194" s="42">
        <v>62</v>
      </c>
      <c r="Q194" s="43"/>
      <c r="R194" s="9">
        <v>22.6</v>
      </c>
      <c r="S194" s="9">
        <v>62.8</v>
      </c>
    </row>
    <row r="195" spans="3:19" ht="15" thickBot="1" x14ac:dyDescent="0.35">
      <c r="C195" s="23"/>
      <c r="D195" s="27"/>
      <c r="E195" s="10">
        <v>0.45833333333333331</v>
      </c>
      <c r="F195" s="4" t="s">
        <v>33</v>
      </c>
      <c r="G195" s="4">
        <v>25</v>
      </c>
      <c r="H195" s="4">
        <v>61</v>
      </c>
      <c r="I195" s="4">
        <v>25</v>
      </c>
      <c r="J195" s="4">
        <v>60</v>
      </c>
      <c r="K195" s="4">
        <v>24</v>
      </c>
      <c r="L195" s="4">
        <v>61</v>
      </c>
      <c r="M195" s="4">
        <v>23</v>
      </c>
      <c r="N195" s="4">
        <v>60</v>
      </c>
      <c r="O195" s="4">
        <v>25</v>
      </c>
      <c r="P195" s="40">
        <v>59</v>
      </c>
      <c r="Q195" s="41"/>
      <c r="R195" s="11">
        <v>24.4</v>
      </c>
      <c r="S195" s="11">
        <v>60.2</v>
      </c>
    </row>
    <row r="196" spans="3:19" ht="15" thickBot="1" x14ac:dyDescent="0.35">
      <c r="C196" s="23"/>
      <c r="D196" s="27"/>
      <c r="E196" s="8">
        <v>0.54166666666666663</v>
      </c>
      <c r="F196" s="9" t="s">
        <v>33</v>
      </c>
      <c r="G196" s="9">
        <v>27</v>
      </c>
      <c r="H196" s="9">
        <v>57</v>
      </c>
      <c r="I196" s="9">
        <v>26</v>
      </c>
      <c r="J196" s="9">
        <v>57</v>
      </c>
      <c r="K196" s="9">
        <v>27</v>
      </c>
      <c r="L196" s="9">
        <v>58</v>
      </c>
      <c r="M196" s="9">
        <v>26</v>
      </c>
      <c r="N196" s="9">
        <v>57</v>
      </c>
      <c r="O196" s="9">
        <v>27</v>
      </c>
      <c r="P196" s="42">
        <v>57</v>
      </c>
      <c r="Q196" s="43"/>
      <c r="R196" s="9">
        <v>26.6</v>
      </c>
      <c r="S196" s="9">
        <v>57.2</v>
      </c>
    </row>
    <row r="197" spans="3:19" ht="15" thickBot="1" x14ac:dyDescent="0.35">
      <c r="C197" s="25"/>
      <c r="D197" s="28"/>
      <c r="E197" s="10">
        <v>0.625</v>
      </c>
      <c r="F197" s="4" t="s">
        <v>33</v>
      </c>
      <c r="G197" s="4">
        <v>28</v>
      </c>
      <c r="H197" s="4">
        <v>54</v>
      </c>
      <c r="I197" s="4">
        <v>28</v>
      </c>
      <c r="J197" s="4">
        <v>54</v>
      </c>
      <c r="K197" s="4">
        <v>28</v>
      </c>
      <c r="L197" s="4">
        <v>54</v>
      </c>
      <c r="M197" s="4">
        <v>27</v>
      </c>
      <c r="N197" s="4">
        <v>53</v>
      </c>
      <c r="O197" s="4">
        <v>29</v>
      </c>
      <c r="P197" s="40">
        <v>54</v>
      </c>
      <c r="Q197" s="41"/>
      <c r="R197" s="11">
        <v>28</v>
      </c>
      <c r="S197" s="11">
        <v>53.8</v>
      </c>
    </row>
    <row r="198" spans="3:19" ht="15" thickBot="1" x14ac:dyDescent="0.35">
      <c r="C198" s="24">
        <v>6</v>
      </c>
      <c r="D198" s="26">
        <v>44954</v>
      </c>
      <c r="E198" s="8">
        <v>0.375</v>
      </c>
      <c r="F198" s="9" t="s">
        <v>33</v>
      </c>
      <c r="G198" s="9">
        <v>22</v>
      </c>
      <c r="H198" s="9">
        <v>63</v>
      </c>
      <c r="I198" s="9">
        <v>22</v>
      </c>
      <c r="J198" s="9">
        <v>62</v>
      </c>
      <c r="K198" s="9">
        <v>23</v>
      </c>
      <c r="L198" s="9">
        <v>63</v>
      </c>
      <c r="M198" s="9">
        <v>22</v>
      </c>
      <c r="N198" s="9">
        <v>63</v>
      </c>
      <c r="O198" s="9">
        <v>23</v>
      </c>
      <c r="P198" s="42">
        <v>64</v>
      </c>
      <c r="Q198" s="43"/>
      <c r="R198" s="9">
        <v>22.4</v>
      </c>
      <c r="S198" s="9">
        <v>63</v>
      </c>
    </row>
    <row r="199" spans="3:19" ht="15" thickBot="1" x14ac:dyDescent="0.35">
      <c r="C199" s="23"/>
      <c r="D199" s="27"/>
      <c r="E199" s="10">
        <v>0.45833333333333331</v>
      </c>
      <c r="F199" s="4" t="s">
        <v>33</v>
      </c>
      <c r="G199" s="4">
        <v>24</v>
      </c>
      <c r="H199" s="4">
        <v>60</v>
      </c>
      <c r="I199" s="4">
        <v>24</v>
      </c>
      <c r="J199" s="4">
        <v>60</v>
      </c>
      <c r="K199" s="4">
        <v>25</v>
      </c>
      <c r="L199" s="4">
        <v>61</v>
      </c>
      <c r="M199" s="4">
        <v>24</v>
      </c>
      <c r="N199" s="4">
        <v>61</v>
      </c>
      <c r="O199" s="4">
        <v>25</v>
      </c>
      <c r="P199" s="40">
        <v>62</v>
      </c>
      <c r="Q199" s="41"/>
      <c r="R199" s="11">
        <v>24.4</v>
      </c>
      <c r="S199" s="11">
        <v>60.8</v>
      </c>
    </row>
    <row r="200" spans="3:19" ht="15" thickBot="1" x14ac:dyDescent="0.35">
      <c r="C200" s="23"/>
      <c r="D200" s="27"/>
      <c r="E200" s="8">
        <v>0.54166666666666663</v>
      </c>
      <c r="F200" s="9" t="s">
        <v>33</v>
      </c>
      <c r="G200" s="9">
        <v>25</v>
      </c>
      <c r="H200" s="9">
        <v>58</v>
      </c>
      <c r="I200" s="9">
        <v>26</v>
      </c>
      <c r="J200" s="9">
        <v>57</v>
      </c>
      <c r="K200" s="9">
        <v>27</v>
      </c>
      <c r="L200" s="9">
        <v>58</v>
      </c>
      <c r="M200" s="9">
        <v>27</v>
      </c>
      <c r="N200" s="9">
        <v>59</v>
      </c>
      <c r="O200" s="9">
        <v>27</v>
      </c>
      <c r="P200" s="42">
        <v>58</v>
      </c>
      <c r="Q200" s="43"/>
      <c r="R200" s="9">
        <v>26.4</v>
      </c>
      <c r="S200" s="9">
        <v>58</v>
      </c>
    </row>
    <row r="201" spans="3:19" ht="15" thickBot="1" x14ac:dyDescent="0.35">
      <c r="C201" s="25"/>
      <c r="D201" s="28"/>
      <c r="E201" s="10">
        <v>0.625</v>
      </c>
      <c r="F201" s="4" t="s">
        <v>33</v>
      </c>
      <c r="G201" s="4">
        <v>28</v>
      </c>
      <c r="H201" s="4">
        <v>55</v>
      </c>
      <c r="I201" s="4">
        <v>27</v>
      </c>
      <c r="J201" s="4">
        <v>54</v>
      </c>
      <c r="K201" s="4">
        <v>28</v>
      </c>
      <c r="L201" s="4">
        <v>55</v>
      </c>
      <c r="M201" s="4">
        <v>28</v>
      </c>
      <c r="N201" s="4">
        <v>55</v>
      </c>
      <c r="O201" s="4">
        <v>29</v>
      </c>
      <c r="P201" s="40">
        <v>56</v>
      </c>
      <c r="Q201" s="41"/>
      <c r="R201" s="11">
        <v>28</v>
      </c>
      <c r="S201" s="11">
        <v>55</v>
      </c>
    </row>
    <row r="202" spans="3:19" ht="15" thickBot="1" x14ac:dyDescent="0.35">
      <c r="C202" s="24">
        <v>7</v>
      </c>
      <c r="D202" s="26">
        <v>44955</v>
      </c>
      <c r="E202" s="8">
        <v>0.375</v>
      </c>
      <c r="F202" s="9" t="s">
        <v>33</v>
      </c>
      <c r="G202" s="9">
        <v>22</v>
      </c>
      <c r="H202" s="9">
        <v>63</v>
      </c>
      <c r="I202" s="9">
        <v>23</v>
      </c>
      <c r="J202" s="9">
        <v>63</v>
      </c>
      <c r="K202" s="9">
        <v>24</v>
      </c>
      <c r="L202" s="9">
        <v>62</v>
      </c>
      <c r="M202" s="9">
        <v>23</v>
      </c>
      <c r="N202" s="9">
        <v>64</v>
      </c>
      <c r="O202" s="9">
        <v>23</v>
      </c>
      <c r="P202" s="42">
        <v>63</v>
      </c>
      <c r="Q202" s="43"/>
      <c r="R202" s="9">
        <v>23</v>
      </c>
      <c r="S202" s="9">
        <v>63</v>
      </c>
    </row>
    <row r="203" spans="3:19" ht="15" thickBot="1" x14ac:dyDescent="0.35">
      <c r="C203" s="23"/>
      <c r="D203" s="27"/>
      <c r="E203" s="10">
        <v>0.45833333333333331</v>
      </c>
      <c r="F203" s="4" t="s">
        <v>33</v>
      </c>
      <c r="G203" s="4">
        <v>24</v>
      </c>
      <c r="H203" s="4">
        <v>61</v>
      </c>
      <c r="I203" s="4">
        <v>25</v>
      </c>
      <c r="J203" s="4">
        <v>60</v>
      </c>
      <c r="K203" s="4">
        <v>26</v>
      </c>
      <c r="L203" s="4">
        <v>60</v>
      </c>
      <c r="M203" s="4">
        <v>25</v>
      </c>
      <c r="N203" s="4">
        <v>62</v>
      </c>
      <c r="O203" s="4">
        <v>24</v>
      </c>
      <c r="P203" s="40">
        <v>61</v>
      </c>
      <c r="Q203" s="41"/>
      <c r="R203" s="11">
        <v>24.8</v>
      </c>
      <c r="S203" s="11">
        <v>60.8</v>
      </c>
    </row>
    <row r="204" spans="3:19" ht="15" thickBot="1" x14ac:dyDescent="0.35">
      <c r="C204" s="23"/>
      <c r="D204" s="27"/>
      <c r="E204" s="8">
        <v>0.54166666666666663</v>
      </c>
      <c r="F204" s="9" t="s">
        <v>33</v>
      </c>
      <c r="G204" s="9">
        <v>26</v>
      </c>
      <c r="H204" s="9">
        <v>58</v>
      </c>
      <c r="I204" s="9">
        <v>27</v>
      </c>
      <c r="J204" s="9">
        <v>57</v>
      </c>
      <c r="K204" s="9">
        <v>28</v>
      </c>
      <c r="L204" s="9">
        <v>56</v>
      </c>
      <c r="M204" s="9">
        <v>27</v>
      </c>
      <c r="N204" s="9">
        <v>59</v>
      </c>
      <c r="O204" s="9">
        <v>26</v>
      </c>
      <c r="P204" s="42">
        <v>58</v>
      </c>
      <c r="Q204" s="43"/>
      <c r="R204" s="9">
        <v>26.8</v>
      </c>
      <c r="S204" s="9">
        <v>57.6</v>
      </c>
    </row>
    <row r="205" spans="3:19" ht="15" thickBot="1" x14ac:dyDescent="0.35">
      <c r="C205" s="25"/>
      <c r="D205" s="28"/>
      <c r="E205" s="10">
        <v>0.625</v>
      </c>
      <c r="F205" s="4" t="s">
        <v>33</v>
      </c>
      <c r="G205" s="4">
        <v>27</v>
      </c>
      <c r="H205" s="4">
        <v>55</v>
      </c>
      <c r="I205" s="4">
        <v>28</v>
      </c>
      <c r="J205" s="4">
        <v>54</v>
      </c>
      <c r="K205" s="4">
        <v>30</v>
      </c>
      <c r="L205" s="4">
        <v>54</v>
      </c>
      <c r="M205" s="4">
        <v>29</v>
      </c>
      <c r="N205" s="4">
        <v>56</v>
      </c>
      <c r="O205" s="4">
        <v>28</v>
      </c>
      <c r="P205" s="40">
        <v>55</v>
      </c>
      <c r="Q205" s="41"/>
      <c r="R205" s="11">
        <v>28.4</v>
      </c>
      <c r="S205" s="11">
        <v>54.8</v>
      </c>
    </row>
    <row r="206" spans="3:19" ht="15" thickBot="1" x14ac:dyDescent="0.35">
      <c r="C206" s="44" t="s">
        <v>10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6"/>
      <c r="R206" s="9">
        <v>25.414290000000001</v>
      </c>
      <c r="S206" s="9">
        <v>59.028570000000002</v>
      </c>
    </row>
    <row r="207" spans="3:19" ht="15" thickBot="1" x14ac:dyDescent="0.35">
      <c r="C207" s="47" t="s">
        <v>11</v>
      </c>
      <c r="D207" s="48"/>
      <c r="E207" s="48"/>
      <c r="F207" s="49"/>
      <c r="G207" s="11">
        <v>22</v>
      </c>
      <c r="H207" s="11">
        <v>54</v>
      </c>
      <c r="I207" s="11">
        <v>22</v>
      </c>
      <c r="J207" s="11">
        <v>54</v>
      </c>
      <c r="K207" s="11">
        <v>21</v>
      </c>
      <c r="L207" s="11">
        <v>54</v>
      </c>
      <c r="M207" s="11">
        <v>21</v>
      </c>
      <c r="N207" s="11">
        <v>53</v>
      </c>
      <c r="O207" s="11">
        <v>21</v>
      </c>
      <c r="P207" s="50">
        <v>53</v>
      </c>
      <c r="Q207" s="51"/>
      <c r="R207" s="11"/>
      <c r="S207" s="11"/>
    </row>
    <row r="208" spans="3:19" ht="15" thickBot="1" x14ac:dyDescent="0.35">
      <c r="C208" s="44" t="s">
        <v>12</v>
      </c>
      <c r="D208" s="45"/>
      <c r="E208" s="45"/>
      <c r="F208" s="46"/>
      <c r="G208" s="9">
        <v>30</v>
      </c>
      <c r="H208" s="9">
        <v>65</v>
      </c>
      <c r="I208" s="9">
        <v>28</v>
      </c>
      <c r="J208" s="9">
        <v>65</v>
      </c>
      <c r="K208" s="9">
        <v>30</v>
      </c>
      <c r="L208" s="9">
        <v>64</v>
      </c>
      <c r="M208" s="9">
        <v>29</v>
      </c>
      <c r="N208" s="9">
        <v>64</v>
      </c>
      <c r="O208" s="9">
        <v>29</v>
      </c>
      <c r="P208" s="42">
        <v>64</v>
      </c>
      <c r="Q208" s="43"/>
      <c r="R208" s="9"/>
      <c r="S208" s="9"/>
    </row>
    <row r="212" spans="3:19" x14ac:dyDescent="0.3">
      <c r="C212" t="s">
        <v>0</v>
      </c>
      <c r="D212" t="s">
        <v>1</v>
      </c>
      <c r="E212" t="s">
        <v>2</v>
      </c>
      <c r="F212" t="s">
        <v>13</v>
      </c>
      <c r="G212" t="s">
        <v>14</v>
      </c>
      <c r="H212" t="s">
        <v>15</v>
      </c>
      <c r="I212" t="s">
        <v>16</v>
      </c>
      <c r="J212" t="s">
        <v>17</v>
      </c>
      <c r="K212" t="s">
        <v>18</v>
      </c>
      <c r="L212" t="s">
        <v>19</v>
      </c>
      <c r="M212" t="s">
        <v>20</v>
      </c>
      <c r="N212" t="s">
        <v>21</v>
      </c>
      <c r="O212" t="s">
        <v>22</v>
      </c>
      <c r="P212" t="s">
        <v>23</v>
      </c>
      <c r="Q212" t="s">
        <v>24</v>
      </c>
      <c r="R212" t="s">
        <v>25</v>
      </c>
      <c r="S212" t="s">
        <v>26</v>
      </c>
    </row>
    <row r="213" spans="3:19" x14ac:dyDescent="0.3">
      <c r="F213" t="s">
        <v>3</v>
      </c>
      <c r="G213">
        <v>1</v>
      </c>
      <c r="I213">
        <v>2</v>
      </c>
      <c r="K213">
        <v>3</v>
      </c>
      <c r="M213">
        <v>4</v>
      </c>
      <c r="O213">
        <v>5</v>
      </c>
    </row>
    <row r="214" spans="3:19" x14ac:dyDescent="0.3">
      <c r="G214" t="s">
        <v>6</v>
      </c>
      <c r="H214" t="s">
        <v>7</v>
      </c>
      <c r="I214" t="s">
        <v>6</v>
      </c>
      <c r="J214" t="s">
        <v>7</v>
      </c>
      <c r="K214" t="s">
        <v>6</v>
      </c>
      <c r="L214" t="s">
        <v>7</v>
      </c>
      <c r="M214" t="s">
        <v>6</v>
      </c>
      <c r="N214" t="s">
        <v>7</v>
      </c>
      <c r="O214" t="s">
        <v>6</v>
      </c>
      <c r="P214" t="s">
        <v>7</v>
      </c>
      <c r="R214" t="s">
        <v>6</v>
      </c>
      <c r="S214" t="s">
        <v>7</v>
      </c>
    </row>
    <row r="215" spans="3:19" x14ac:dyDescent="0.3">
      <c r="C215">
        <v>1</v>
      </c>
      <c r="D215" s="6">
        <v>44949</v>
      </c>
      <c r="E215" s="7">
        <v>0.375</v>
      </c>
      <c r="F215" t="s">
        <v>33</v>
      </c>
      <c r="G215">
        <v>23</v>
      </c>
      <c r="H215">
        <v>62</v>
      </c>
      <c r="I215">
        <v>21</v>
      </c>
      <c r="J215">
        <v>65</v>
      </c>
      <c r="K215">
        <v>24</v>
      </c>
      <c r="L215">
        <v>61</v>
      </c>
      <c r="M215">
        <v>22</v>
      </c>
      <c r="N215">
        <v>64</v>
      </c>
      <c r="O215">
        <v>23</v>
      </c>
      <c r="P215">
        <v>62</v>
      </c>
      <c r="R215">
        <f>AVERAGE(G215,I215,K215,M215,O215)</f>
        <v>22.6</v>
      </c>
      <c r="S215">
        <f>AVERAGE(H215,J215,L215,N215,P215)</f>
        <v>62.8</v>
      </c>
    </row>
    <row r="216" spans="3:19" x14ac:dyDescent="0.3">
      <c r="E216" s="7">
        <v>0.45833333333333331</v>
      </c>
      <c r="F216" t="s">
        <v>33</v>
      </c>
      <c r="G216">
        <v>24</v>
      </c>
      <c r="H216">
        <v>61</v>
      </c>
      <c r="I216">
        <v>25</v>
      </c>
      <c r="J216">
        <v>59</v>
      </c>
      <c r="K216">
        <v>23</v>
      </c>
      <c r="L216">
        <v>62</v>
      </c>
      <c r="M216">
        <v>26</v>
      </c>
      <c r="N216">
        <v>60</v>
      </c>
      <c r="O216">
        <v>24</v>
      </c>
      <c r="P216">
        <v>58</v>
      </c>
      <c r="R216">
        <f t="shared" ref="R216:R242" si="6">AVERAGE(G216,I216,K216,M216,O216)</f>
        <v>24.4</v>
      </c>
      <c r="S216">
        <f t="shared" ref="S216:S242" si="7">AVERAGE(H216,J216,L216,N216,P216)</f>
        <v>60</v>
      </c>
    </row>
    <row r="217" spans="3:19" x14ac:dyDescent="0.3">
      <c r="E217" s="7">
        <v>0.54166666666666663</v>
      </c>
      <c r="F217" t="s">
        <v>33</v>
      </c>
      <c r="G217">
        <v>28</v>
      </c>
      <c r="H217">
        <v>56</v>
      </c>
      <c r="I217">
        <v>27</v>
      </c>
      <c r="J217">
        <v>58</v>
      </c>
      <c r="K217">
        <v>26</v>
      </c>
      <c r="L217">
        <v>57</v>
      </c>
      <c r="M217">
        <v>25</v>
      </c>
      <c r="N217">
        <v>59</v>
      </c>
      <c r="O217">
        <v>27</v>
      </c>
      <c r="P217">
        <v>56</v>
      </c>
      <c r="R217">
        <f t="shared" si="6"/>
        <v>26.6</v>
      </c>
      <c r="S217">
        <f t="shared" si="7"/>
        <v>57.2</v>
      </c>
    </row>
    <row r="218" spans="3:19" x14ac:dyDescent="0.3">
      <c r="E218" s="7">
        <v>0.625</v>
      </c>
      <c r="F218" t="s">
        <v>33</v>
      </c>
      <c r="G218">
        <v>30</v>
      </c>
      <c r="H218">
        <v>54</v>
      </c>
      <c r="I218">
        <v>29</v>
      </c>
      <c r="J218">
        <v>55</v>
      </c>
      <c r="K218">
        <v>28</v>
      </c>
      <c r="L218">
        <v>53</v>
      </c>
      <c r="M218">
        <v>27</v>
      </c>
      <c r="N218">
        <v>56</v>
      </c>
      <c r="O218">
        <v>29</v>
      </c>
      <c r="P218">
        <v>54</v>
      </c>
      <c r="R218">
        <f t="shared" si="6"/>
        <v>28.6</v>
      </c>
      <c r="S218">
        <f t="shared" si="7"/>
        <v>54.4</v>
      </c>
    </row>
    <row r="219" spans="3:19" x14ac:dyDescent="0.3">
      <c r="C219">
        <v>2</v>
      </c>
      <c r="D219" s="6">
        <v>44950</v>
      </c>
      <c r="E219" s="7">
        <v>0.375</v>
      </c>
      <c r="F219" t="s">
        <v>33</v>
      </c>
      <c r="G219">
        <v>23</v>
      </c>
      <c r="H219">
        <v>64</v>
      </c>
      <c r="I219">
        <v>22</v>
      </c>
      <c r="J219">
        <v>63</v>
      </c>
      <c r="K219">
        <v>24</v>
      </c>
      <c r="L219">
        <v>65</v>
      </c>
      <c r="M219">
        <v>21</v>
      </c>
      <c r="N219">
        <v>62</v>
      </c>
      <c r="O219">
        <v>23</v>
      </c>
      <c r="P219">
        <v>63</v>
      </c>
      <c r="R219">
        <f t="shared" si="6"/>
        <v>22.6</v>
      </c>
      <c r="S219">
        <f t="shared" si="7"/>
        <v>63.4</v>
      </c>
    </row>
    <row r="220" spans="3:19" x14ac:dyDescent="0.3">
      <c r="E220" s="7">
        <v>0.45833333333333331</v>
      </c>
      <c r="F220" t="s">
        <v>33</v>
      </c>
      <c r="G220">
        <v>27</v>
      </c>
      <c r="H220">
        <v>60</v>
      </c>
      <c r="I220">
        <v>24</v>
      </c>
      <c r="J220">
        <v>62</v>
      </c>
      <c r="K220">
        <v>25</v>
      </c>
      <c r="L220">
        <v>61</v>
      </c>
      <c r="M220">
        <v>26</v>
      </c>
      <c r="N220">
        <v>59</v>
      </c>
      <c r="O220">
        <v>24</v>
      </c>
      <c r="P220">
        <v>60</v>
      </c>
      <c r="R220">
        <f t="shared" si="6"/>
        <v>25.2</v>
      </c>
      <c r="S220">
        <f t="shared" si="7"/>
        <v>60.4</v>
      </c>
    </row>
    <row r="221" spans="3:19" x14ac:dyDescent="0.3">
      <c r="E221" s="7">
        <v>0.54166666666666663</v>
      </c>
      <c r="F221" t="s">
        <v>33</v>
      </c>
      <c r="G221">
        <v>28</v>
      </c>
      <c r="H221">
        <v>58</v>
      </c>
      <c r="I221">
        <v>26</v>
      </c>
      <c r="J221">
        <v>57</v>
      </c>
      <c r="K221">
        <v>27</v>
      </c>
      <c r="L221">
        <v>59</v>
      </c>
      <c r="M221">
        <v>25</v>
      </c>
      <c r="N221">
        <v>58</v>
      </c>
      <c r="O221">
        <v>26</v>
      </c>
      <c r="P221">
        <v>56</v>
      </c>
      <c r="R221">
        <f t="shared" si="6"/>
        <v>26.4</v>
      </c>
      <c r="S221">
        <f t="shared" si="7"/>
        <v>57.6</v>
      </c>
    </row>
    <row r="222" spans="3:19" x14ac:dyDescent="0.3">
      <c r="E222" s="7">
        <v>0.625</v>
      </c>
      <c r="F222" t="s">
        <v>33</v>
      </c>
      <c r="G222">
        <v>29</v>
      </c>
      <c r="H222">
        <v>55</v>
      </c>
      <c r="I222">
        <v>30</v>
      </c>
      <c r="J222">
        <v>54</v>
      </c>
      <c r="K222">
        <v>28</v>
      </c>
      <c r="L222">
        <v>56</v>
      </c>
      <c r="M222">
        <v>27</v>
      </c>
      <c r="N222">
        <v>54</v>
      </c>
      <c r="O222">
        <v>28</v>
      </c>
      <c r="P222">
        <v>53</v>
      </c>
      <c r="R222">
        <f t="shared" si="6"/>
        <v>28.4</v>
      </c>
      <c r="S222">
        <f t="shared" si="7"/>
        <v>54.4</v>
      </c>
    </row>
    <row r="223" spans="3:19" x14ac:dyDescent="0.3">
      <c r="C223">
        <v>3</v>
      </c>
      <c r="D223" s="6">
        <v>44951</v>
      </c>
      <c r="E223" s="7">
        <v>0.375</v>
      </c>
      <c r="F223" t="s">
        <v>33</v>
      </c>
      <c r="G223">
        <v>22</v>
      </c>
      <c r="H223">
        <v>63</v>
      </c>
      <c r="I223">
        <v>23</v>
      </c>
      <c r="J223">
        <v>64</v>
      </c>
      <c r="K223">
        <v>21</v>
      </c>
      <c r="L223">
        <v>62</v>
      </c>
      <c r="M223">
        <v>24</v>
      </c>
      <c r="N223">
        <v>65</v>
      </c>
      <c r="O223">
        <v>22</v>
      </c>
      <c r="P223">
        <v>63</v>
      </c>
      <c r="R223">
        <f t="shared" si="6"/>
        <v>22.4</v>
      </c>
      <c r="S223">
        <f t="shared" si="7"/>
        <v>63.4</v>
      </c>
    </row>
    <row r="224" spans="3:19" x14ac:dyDescent="0.3">
      <c r="E224" s="7">
        <v>0.45833333333333331</v>
      </c>
      <c r="F224" t="s">
        <v>33</v>
      </c>
      <c r="G224">
        <v>26</v>
      </c>
      <c r="H224">
        <v>60</v>
      </c>
      <c r="I224">
        <v>25</v>
      </c>
      <c r="J224">
        <v>61</v>
      </c>
      <c r="K224">
        <v>24</v>
      </c>
      <c r="L224">
        <v>63</v>
      </c>
      <c r="M224">
        <v>23</v>
      </c>
      <c r="N224">
        <v>59</v>
      </c>
      <c r="O224">
        <v>24</v>
      </c>
      <c r="P224">
        <v>62</v>
      </c>
      <c r="R224">
        <f t="shared" si="6"/>
        <v>24.4</v>
      </c>
      <c r="S224">
        <f t="shared" si="7"/>
        <v>61</v>
      </c>
    </row>
    <row r="225" spans="3:19" x14ac:dyDescent="0.3">
      <c r="E225" s="7">
        <v>0.54166666666666663</v>
      </c>
      <c r="F225" t="s">
        <v>33</v>
      </c>
      <c r="G225">
        <v>27</v>
      </c>
      <c r="H225">
        <v>57</v>
      </c>
      <c r="I225">
        <v>28</v>
      </c>
      <c r="J225">
        <v>56</v>
      </c>
      <c r="K225">
        <v>26</v>
      </c>
      <c r="L225">
        <v>58</v>
      </c>
      <c r="M225">
        <v>27</v>
      </c>
      <c r="N225">
        <v>59</v>
      </c>
      <c r="O225">
        <v>25</v>
      </c>
      <c r="P225">
        <v>57</v>
      </c>
      <c r="R225">
        <f t="shared" si="6"/>
        <v>26.6</v>
      </c>
      <c r="S225">
        <f t="shared" si="7"/>
        <v>57.4</v>
      </c>
    </row>
    <row r="226" spans="3:19" x14ac:dyDescent="0.3">
      <c r="E226" s="7">
        <v>0.625</v>
      </c>
      <c r="F226" t="s">
        <v>33</v>
      </c>
      <c r="G226">
        <v>30</v>
      </c>
      <c r="H226">
        <v>54</v>
      </c>
      <c r="I226">
        <v>28</v>
      </c>
      <c r="J226">
        <v>55</v>
      </c>
      <c r="K226">
        <v>29</v>
      </c>
      <c r="L226">
        <v>54</v>
      </c>
      <c r="M226">
        <v>27</v>
      </c>
      <c r="N226">
        <v>56</v>
      </c>
      <c r="O226">
        <v>28</v>
      </c>
      <c r="P226">
        <v>55</v>
      </c>
      <c r="R226">
        <f t="shared" si="6"/>
        <v>28.4</v>
      </c>
      <c r="S226">
        <f t="shared" si="7"/>
        <v>54.8</v>
      </c>
    </row>
    <row r="227" spans="3:19" x14ac:dyDescent="0.3">
      <c r="C227">
        <v>4</v>
      </c>
      <c r="D227" s="6">
        <v>44952</v>
      </c>
      <c r="E227" s="7">
        <v>0.375</v>
      </c>
      <c r="F227" t="s">
        <v>33</v>
      </c>
      <c r="G227">
        <v>24</v>
      </c>
      <c r="H227">
        <v>64</v>
      </c>
      <c r="I227">
        <v>22</v>
      </c>
      <c r="J227">
        <v>63</v>
      </c>
      <c r="K227">
        <v>23</v>
      </c>
      <c r="L227">
        <v>65</v>
      </c>
      <c r="M227">
        <v>21</v>
      </c>
      <c r="N227">
        <v>62</v>
      </c>
      <c r="O227">
        <v>24</v>
      </c>
      <c r="P227">
        <v>63</v>
      </c>
      <c r="R227">
        <f t="shared" si="6"/>
        <v>22.8</v>
      </c>
      <c r="S227">
        <f t="shared" si="7"/>
        <v>63.4</v>
      </c>
    </row>
    <row r="228" spans="3:19" x14ac:dyDescent="0.3">
      <c r="E228" s="7">
        <v>0.45833333333333331</v>
      </c>
      <c r="F228" t="s">
        <v>33</v>
      </c>
      <c r="G228">
        <v>25</v>
      </c>
      <c r="H228">
        <v>61</v>
      </c>
      <c r="I228">
        <v>26</v>
      </c>
      <c r="J228">
        <v>60</v>
      </c>
      <c r="K228">
        <v>24</v>
      </c>
      <c r="L228">
        <v>62</v>
      </c>
      <c r="M228">
        <v>23</v>
      </c>
      <c r="N228">
        <v>59</v>
      </c>
      <c r="O228">
        <v>25</v>
      </c>
      <c r="P228">
        <v>60</v>
      </c>
      <c r="R228">
        <f t="shared" si="6"/>
        <v>24.6</v>
      </c>
      <c r="S228">
        <f t="shared" si="7"/>
        <v>60.4</v>
      </c>
    </row>
    <row r="229" spans="3:19" x14ac:dyDescent="0.3">
      <c r="E229" s="7">
        <v>0.54166666666666663</v>
      </c>
      <c r="F229" t="s">
        <v>33</v>
      </c>
      <c r="G229">
        <v>28</v>
      </c>
      <c r="H229">
        <v>57</v>
      </c>
      <c r="I229">
        <v>27</v>
      </c>
      <c r="J229">
        <v>58</v>
      </c>
      <c r="K229">
        <v>26</v>
      </c>
      <c r="L229">
        <v>56</v>
      </c>
      <c r="M229">
        <v>25</v>
      </c>
      <c r="N229">
        <v>59</v>
      </c>
      <c r="O229">
        <v>27</v>
      </c>
      <c r="P229">
        <v>57</v>
      </c>
      <c r="R229">
        <f t="shared" si="6"/>
        <v>26.6</v>
      </c>
      <c r="S229">
        <f t="shared" si="7"/>
        <v>57.4</v>
      </c>
    </row>
    <row r="230" spans="3:19" x14ac:dyDescent="0.3">
      <c r="E230" s="7">
        <v>0.625</v>
      </c>
      <c r="F230" t="s">
        <v>33</v>
      </c>
      <c r="G230">
        <v>30</v>
      </c>
      <c r="H230">
        <v>55</v>
      </c>
      <c r="I230">
        <v>29</v>
      </c>
      <c r="J230">
        <v>54</v>
      </c>
      <c r="K230">
        <v>28</v>
      </c>
      <c r="L230">
        <v>56</v>
      </c>
      <c r="M230">
        <v>27</v>
      </c>
      <c r="N230">
        <v>53</v>
      </c>
      <c r="O230">
        <v>28</v>
      </c>
      <c r="P230">
        <v>55</v>
      </c>
      <c r="R230">
        <f t="shared" si="6"/>
        <v>28.4</v>
      </c>
      <c r="S230">
        <f t="shared" si="7"/>
        <v>54.6</v>
      </c>
    </row>
    <row r="231" spans="3:19" x14ac:dyDescent="0.3">
      <c r="C231">
        <v>5</v>
      </c>
      <c r="D231" s="6">
        <v>44953</v>
      </c>
      <c r="E231" s="7">
        <v>0.375</v>
      </c>
      <c r="F231" t="s">
        <v>33</v>
      </c>
      <c r="G231">
        <v>23</v>
      </c>
      <c r="H231">
        <v>63</v>
      </c>
      <c r="I231">
        <v>24</v>
      </c>
      <c r="J231">
        <v>62</v>
      </c>
      <c r="K231">
        <v>22</v>
      </c>
      <c r="L231">
        <v>64</v>
      </c>
      <c r="M231">
        <v>23</v>
      </c>
      <c r="N231">
        <v>65</v>
      </c>
      <c r="O231">
        <v>21</v>
      </c>
      <c r="P231">
        <v>63</v>
      </c>
      <c r="R231">
        <f t="shared" si="6"/>
        <v>22.6</v>
      </c>
      <c r="S231">
        <f t="shared" si="7"/>
        <v>63.4</v>
      </c>
    </row>
    <row r="232" spans="3:19" x14ac:dyDescent="0.3">
      <c r="E232" s="7">
        <v>0.45833333333333331</v>
      </c>
      <c r="F232" t="s">
        <v>33</v>
      </c>
      <c r="G232">
        <v>26</v>
      </c>
      <c r="H232">
        <v>60</v>
      </c>
      <c r="I232">
        <v>24</v>
      </c>
      <c r="J232">
        <v>61</v>
      </c>
      <c r="K232">
        <v>25</v>
      </c>
      <c r="L232">
        <v>62</v>
      </c>
      <c r="M232">
        <v>23</v>
      </c>
      <c r="N232">
        <v>59</v>
      </c>
      <c r="O232">
        <v>24</v>
      </c>
      <c r="P232">
        <v>60</v>
      </c>
      <c r="R232">
        <f t="shared" si="6"/>
        <v>24.4</v>
      </c>
      <c r="S232">
        <f t="shared" si="7"/>
        <v>60.4</v>
      </c>
    </row>
    <row r="233" spans="3:19" x14ac:dyDescent="0.3">
      <c r="E233" s="7">
        <v>0.54166666666666663</v>
      </c>
      <c r="F233" t="s">
        <v>33</v>
      </c>
      <c r="G233">
        <v>27</v>
      </c>
      <c r="H233">
        <v>58</v>
      </c>
      <c r="I233">
        <v>28</v>
      </c>
      <c r="J233">
        <v>57</v>
      </c>
      <c r="K233">
        <v>26</v>
      </c>
      <c r="L233">
        <v>59</v>
      </c>
      <c r="M233">
        <v>25</v>
      </c>
      <c r="N233">
        <v>56</v>
      </c>
      <c r="O233">
        <v>27</v>
      </c>
      <c r="P233">
        <v>58</v>
      </c>
      <c r="R233">
        <f t="shared" si="6"/>
        <v>26.6</v>
      </c>
      <c r="S233">
        <f t="shared" si="7"/>
        <v>57.6</v>
      </c>
    </row>
    <row r="234" spans="3:19" x14ac:dyDescent="0.3">
      <c r="E234" s="7">
        <v>0.625</v>
      </c>
      <c r="F234" t="s">
        <v>33</v>
      </c>
      <c r="G234">
        <v>29</v>
      </c>
      <c r="H234">
        <v>54</v>
      </c>
      <c r="I234">
        <v>27</v>
      </c>
      <c r="J234">
        <v>55</v>
      </c>
      <c r="K234">
        <v>28</v>
      </c>
      <c r="L234">
        <v>53</v>
      </c>
      <c r="M234">
        <v>30</v>
      </c>
      <c r="N234">
        <v>56</v>
      </c>
      <c r="O234">
        <v>28</v>
      </c>
      <c r="P234">
        <v>54</v>
      </c>
      <c r="R234">
        <f t="shared" si="6"/>
        <v>28.4</v>
      </c>
      <c r="S234">
        <f t="shared" si="7"/>
        <v>54.4</v>
      </c>
    </row>
    <row r="235" spans="3:19" x14ac:dyDescent="0.3">
      <c r="C235">
        <v>6</v>
      </c>
      <c r="D235" s="6">
        <v>44954</v>
      </c>
      <c r="E235" s="7">
        <v>0.375</v>
      </c>
      <c r="F235" t="s">
        <v>33</v>
      </c>
      <c r="G235">
        <v>22</v>
      </c>
      <c r="H235">
        <v>62</v>
      </c>
      <c r="I235">
        <v>23</v>
      </c>
      <c r="J235">
        <v>63</v>
      </c>
      <c r="K235">
        <v>21</v>
      </c>
      <c r="L235">
        <v>64</v>
      </c>
      <c r="M235">
        <v>24</v>
      </c>
      <c r="N235">
        <v>65</v>
      </c>
      <c r="O235">
        <v>22</v>
      </c>
      <c r="P235">
        <v>63</v>
      </c>
      <c r="R235">
        <f t="shared" si="6"/>
        <v>22.4</v>
      </c>
      <c r="S235">
        <f t="shared" si="7"/>
        <v>63.4</v>
      </c>
    </row>
    <row r="236" spans="3:19" x14ac:dyDescent="0.3">
      <c r="E236" s="7">
        <v>0.45833333333333331</v>
      </c>
      <c r="F236" t="s">
        <v>33</v>
      </c>
      <c r="G236">
        <v>24</v>
      </c>
      <c r="H236">
        <v>60</v>
      </c>
      <c r="I236">
        <v>26</v>
      </c>
      <c r="J236">
        <v>61</v>
      </c>
      <c r="K236">
        <v>25</v>
      </c>
      <c r="L236">
        <v>62</v>
      </c>
      <c r="M236">
        <v>23</v>
      </c>
      <c r="N236">
        <v>59</v>
      </c>
      <c r="O236">
        <v>24</v>
      </c>
      <c r="P236">
        <v>60</v>
      </c>
      <c r="R236">
        <f t="shared" si="6"/>
        <v>24.4</v>
      </c>
      <c r="S236">
        <f t="shared" si="7"/>
        <v>60.4</v>
      </c>
    </row>
    <row r="237" spans="3:19" x14ac:dyDescent="0.3">
      <c r="E237" s="7">
        <v>0.54166666666666663</v>
      </c>
      <c r="F237" t="s">
        <v>33</v>
      </c>
      <c r="G237">
        <v>27</v>
      </c>
      <c r="H237">
        <v>57</v>
      </c>
      <c r="I237">
        <v>26</v>
      </c>
      <c r="J237">
        <v>58</v>
      </c>
      <c r="K237">
        <v>28</v>
      </c>
      <c r="L237">
        <v>56</v>
      </c>
      <c r="M237">
        <v>25</v>
      </c>
      <c r="N237">
        <v>59</v>
      </c>
      <c r="O237">
        <v>27</v>
      </c>
      <c r="P237">
        <v>58</v>
      </c>
      <c r="R237">
        <f t="shared" si="6"/>
        <v>26.6</v>
      </c>
      <c r="S237">
        <f t="shared" si="7"/>
        <v>57.6</v>
      </c>
    </row>
    <row r="238" spans="3:19" x14ac:dyDescent="0.3">
      <c r="E238" s="7">
        <v>0.625</v>
      </c>
      <c r="F238" t="s">
        <v>33</v>
      </c>
      <c r="G238">
        <v>29</v>
      </c>
      <c r="H238">
        <v>55</v>
      </c>
      <c r="I238">
        <v>28</v>
      </c>
      <c r="J238">
        <v>54</v>
      </c>
      <c r="K238">
        <v>27</v>
      </c>
      <c r="L238">
        <v>56</v>
      </c>
      <c r="M238">
        <v>30</v>
      </c>
      <c r="N238">
        <v>53</v>
      </c>
      <c r="O238">
        <v>28</v>
      </c>
      <c r="P238">
        <v>55</v>
      </c>
      <c r="R238">
        <f t="shared" si="6"/>
        <v>28.4</v>
      </c>
      <c r="S238">
        <f t="shared" si="7"/>
        <v>54.6</v>
      </c>
    </row>
    <row r="239" spans="3:19" x14ac:dyDescent="0.3">
      <c r="C239">
        <v>7</v>
      </c>
      <c r="D239" s="6">
        <v>44955</v>
      </c>
      <c r="E239" s="7">
        <v>0.375</v>
      </c>
      <c r="F239" t="s">
        <v>33</v>
      </c>
      <c r="G239">
        <v>23</v>
      </c>
      <c r="H239">
        <v>63</v>
      </c>
      <c r="I239">
        <v>22</v>
      </c>
      <c r="J239">
        <v>64</v>
      </c>
      <c r="K239">
        <v>24</v>
      </c>
      <c r="L239">
        <v>62</v>
      </c>
      <c r="M239">
        <v>21</v>
      </c>
      <c r="N239">
        <v>65</v>
      </c>
      <c r="O239">
        <v>23</v>
      </c>
      <c r="P239">
        <v>63</v>
      </c>
      <c r="R239">
        <f t="shared" si="6"/>
        <v>22.6</v>
      </c>
      <c r="S239">
        <f t="shared" si="7"/>
        <v>63.4</v>
      </c>
    </row>
    <row r="240" spans="3:19" x14ac:dyDescent="0.3">
      <c r="E240" s="7">
        <v>0.45833333333333331</v>
      </c>
      <c r="F240" t="s">
        <v>33</v>
      </c>
      <c r="G240">
        <v>25</v>
      </c>
      <c r="H240">
        <v>61</v>
      </c>
      <c r="I240">
        <v>24</v>
      </c>
      <c r="J240">
        <v>60</v>
      </c>
      <c r="K240">
        <v>26</v>
      </c>
      <c r="L240">
        <v>62</v>
      </c>
      <c r="M240">
        <v>23</v>
      </c>
      <c r="N240">
        <v>59</v>
      </c>
      <c r="O240">
        <v>24</v>
      </c>
      <c r="P240">
        <v>60</v>
      </c>
      <c r="R240">
        <f t="shared" si="6"/>
        <v>24.4</v>
      </c>
      <c r="S240">
        <f t="shared" si="7"/>
        <v>60.4</v>
      </c>
    </row>
    <row r="241" spans="3:25" x14ac:dyDescent="0.3">
      <c r="E241" s="7">
        <v>0.54166666666666663</v>
      </c>
      <c r="F241" t="s">
        <v>33</v>
      </c>
      <c r="G241">
        <v>27</v>
      </c>
      <c r="H241">
        <v>58</v>
      </c>
      <c r="I241">
        <v>26</v>
      </c>
      <c r="J241">
        <v>57</v>
      </c>
      <c r="K241">
        <v>28</v>
      </c>
      <c r="L241">
        <v>56</v>
      </c>
      <c r="M241">
        <v>25</v>
      </c>
      <c r="N241">
        <v>59</v>
      </c>
      <c r="O241">
        <v>27</v>
      </c>
      <c r="P241">
        <v>58</v>
      </c>
      <c r="R241">
        <f t="shared" si="6"/>
        <v>26.6</v>
      </c>
      <c r="S241">
        <f t="shared" si="7"/>
        <v>57.6</v>
      </c>
    </row>
    <row r="242" spans="3:25" x14ac:dyDescent="0.3">
      <c r="E242" s="7">
        <v>0.625</v>
      </c>
      <c r="F242" t="s">
        <v>33</v>
      </c>
      <c r="G242">
        <v>30</v>
      </c>
      <c r="H242">
        <v>54</v>
      </c>
      <c r="I242">
        <v>29</v>
      </c>
      <c r="J242">
        <v>55</v>
      </c>
      <c r="K242">
        <v>28</v>
      </c>
      <c r="L242">
        <v>53</v>
      </c>
      <c r="M242">
        <v>27</v>
      </c>
      <c r="N242">
        <v>56</v>
      </c>
      <c r="O242">
        <v>28</v>
      </c>
      <c r="P242">
        <v>54</v>
      </c>
      <c r="R242">
        <f t="shared" si="6"/>
        <v>28.4</v>
      </c>
      <c r="S242">
        <f t="shared" si="7"/>
        <v>54.4</v>
      </c>
    </row>
    <row r="244" spans="3:25" x14ac:dyDescent="0.3">
      <c r="C244" t="s">
        <v>10</v>
      </c>
      <c r="R244">
        <f>AVERAGE(R215:R242)</f>
        <v>25.528571428571428</v>
      </c>
      <c r="S244">
        <f>AVERAGE(S215:S242)</f>
        <v>58.93571428571429</v>
      </c>
    </row>
    <row r="245" spans="3:25" x14ac:dyDescent="0.3">
      <c r="C245" t="s">
        <v>11</v>
      </c>
      <c r="G245">
        <f>MIN(G215:G242)</f>
        <v>22</v>
      </c>
      <c r="H245">
        <f t="shared" ref="H245:P245" si="8">MIN(H215:H242)</f>
        <v>54</v>
      </c>
      <c r="I245">
        <f t="shared" si="8"/>
        <v>21</v>
      </c>
      <c r="J245">
        <f t="shared" si="8"/>
        <v>54</v>
      </c>
      <c r="K245">
        <f t="shared" si="8"/>
        <v>21</v>
      </c>
      <c r="L245">
        <f t="shared" si="8"/>
        <v>53</v>
      </c>
      <c r="M245">
        <f t="shared" si="8"/>
        <v>21</v>
      </c>
      <c r="N245">
        <f t="shared" si="8"/>
        <v>53</v>
      </c>
      <c r="O245">
        <f t="shared" si="8"/>
        <v>21</v>
      </c>
      <c r="P245">
        <f t="shared" si="8"/>
        <v>53</v>
      </c>
    </row>
    <row r="246" spans="3:25" x14ac:dyDescent="0.3">
      <c r="C246" t="s">
        <v>12</v>
      </c>
      <c r="G246">
        <f>MAX(G215:G242)</f>
        <v>30</v>
      </c>
      <c r="H246">
        <f t="shared" ref="H246:P246" si="9">MAX(H215:H242)</f>
        <v>64</v>
      </c>
      <c r="I246">
        <f t="shared" si="9"/>
        <v>30</v>
      </c>
      <c r="J246">
        <f t="shared" si="9"/>
        <v>65</v>
      </c>
      <c r="K246">
        <f t="shared" si="9"/>
        <v>29</v>
      </c>
      <c r="L246">
        <f t="shared" si="9"/>
        <v>65</v>
      </c>
      <c r="M246">
        <f t="shared" si="9"/>
        <v>30</v>
      </c>
      <c r="N246">
        <f t="shared" si="9"/>
        <v>65</v>
      </c>
      <c r="O246">
        <f t="shared" si="9"/>
        <v>29</v>
      </c>
      <c r="P246">
        <f t="shared" si="9"/>
        <v>63</v>
      </c>
    </row>
    <row r="251" spans="3:25" ht="15" thickBot="1" x14ac:dyDescent="0.35"/>
    <row r="252" spans="3:25" ht="15" thickBot="1" x14ac:dyDescent="0.35">
      <c r="C252" s="12" t="s">
        <v>0</v>
      </c>
      <c r="D252" s="12" t="s">
        <v>1</v>
      </c>
      <c r="E252" s="12" t="s">
        <v>2</v>
      </c>
      <c r="F252" s="1"/>
      <c r="G252" s="16" t="s">
        <v>4</v>
      </c>
      <c r="H252" s="15"/>
      <c r="I252" s="15"/>
      <c r="J252" s="15"/>
      <c r="K252" s="15"/>
      <c r="L252" s="15"/>
      <c r="M252" s="15"/>
      <c r="N252" s="15"/>
      <c r="O252" s="15"/>
      <c r="P252" s="32"/>
      <c r="Q252" s="34" t="s">
        <v>5</v>
      </c>
      <c r="R252" s="33"/>
      <c r="S252" s="35"/>
    </row>
    <row r="253" spans="3:25" ht="15" thickBot="1" x14ac:dyDescent="0.35">
      <c r="C253" s="13"/>
      <c r="D253" s="13"/>
      <c r="E253" s="13"/>
      <c r="F253" s="2" t="s">
        <v>3</v>
      </c>
      <c r="G253" s="19">
        <v>1</v>
      </c>
      <c r="H253" s="20"/>
      <c r="I253" s="19">
        <v>2</v>
      </c>
      <c r="J253" s="20"/>
      <c r="K253" s="19">
        <v>3</v>
      </c>
      <c r="L253" s="20"/>
      <c r="M253" s="19">
        <v>4</v>
      </c>
      <c r="N253" s="20"/>
      <c r="O253" s="36">
        <v>5</v>
      </c>
      <c r="P253" s="18"/>
      <c r="Q253" s="37"/>
      <c r="R253" s="38">
        <v>6</v>
      </c>
      <c r="S253" s="39"/>
      <c r="T253">
        <v>7</v>
      </c>
      <c r="V253">
        <v>8</v>
      </c>
    </row>
    <row r="254" spans="3:25" ht="15" thickBot="1" x14ac:dyDescent="0.35">
      <c r="C254" s="14"/>
      <c r="D254" s="14"/>
      <c r="E254" s="14"/>
      <c r="F254" s="3"/>
      <c r="G254" s="4" t="s">
        <v>6</v>
      </c>
      <c r="H254" s="4" t="s">
        <v>7</v>
      </c>
      <c r="I254" s="4" t="s">
        <v>6</v>
      </c>
      <c r="J254" s="4" t="s">
        <v>7</v>
      </c>
      <c r="K254" s="4" t="s">
        <v>6</v>
      </c>
      <c r="L254" s="4" t="s">
        <v>7</v>
      </c>
      <c r="M254" s="4" t="s">
        <v>6</v>
      </c>
      <c r="N254" s="4" t="s">
        <v>7</v>
      </c>
      <c r="O254" s="4" t="s">
        <v>6</v>
      </c>
      <c r="P254" s="40" t="s">
        <v>7</v>
      </c>
      <c r="Q254" s="41"/>
      <c r="R254" s="54" t="s">
        <v>6</v>
      </c>
      <c r="S254" s="54" t="s">
        <v>7</v>
      </c>
      <c r="T254" s="54" t="s">
        <v>6</v>
      </c>
      <c r="U254" s="54" t="s">
        <v>7</v>
      </c>
      <c r="V254" s="54" t="s">
        <v>6</v>
      </c>
      <c r="W254" s="54" t="s">
        <v>7</v>
      </c>
      <c r="X254" s="5" t="s">
        <v>6</v>
      </c>
      <c r="Y254" s="4" t="s">
        <v>7</v>
      </c>
    </row>
    <row r="255" spans="3:25" ht="15" thickBot="1" x14ac:dyDescent="0.35">
      <c r="C255" s="24">
        <v>1</v>
      </c>
      <c r="D255" s="26">
        <v>44949</v>
      </c>
      <c r="E255" s="8">
        <v>0.375</v>
      </c>
      <c r="F255" s="9" t="s">
        <v>34</v>
      </c>
      <c r="G255" s="9">
        <v>22</v>
      </c>
      <c r="H255" s="9">
        <v>63</v>
      </c>
      <c r="I255" s="9">
        <v>23</v>
      </c>
      <c r="J255" s="9">
        <v>62</v>
      </c>
      <c r="K255" s="9">
        <v>23</v>
      </c>
      <c r="L255" s="9">
        <v>63</v>
      </c>
      <c r="M255" s="9">
        <v>22</v>
      </c>
      <c r="N255" s="9">
        <v>63</v>
      </c>
      <c r="O255" s="9">
        <v>21</v>
      </c>
      <c r="P255" s="42">
        <v>64</v>
      </c>
      <c r="Q255" s="43"/>
      <c r="R255" s="55">
        <v>23</v>
      </c>
      <c r="S255" s="53">
        <v>62</v>
      </c>
      <c r="T255" s="53">
        <v>22</v>
      </c>
      <c r="U255" s="53">
        <v>62</v>
      </c>
      <c r="V255" s="53">
        <v>22</v>
      </c>
      <c r="W255" s="53">
        <v>64</v>
      </c>
      <c r="X255" s="9">
        <v>22.2</v>
      </c>
      <c r="Y255" s="9">
        <v>63</v>
      </c>
    </row>
    <row r="256" spans="3:25" ht="15" thickBot="1" x14ac:dyDescent="0.35">
      <c r="C256" s="23"/>
      <c r="D256" s="27"/>
      <c r="E256" s="10">
        <v>0.45833333333333331</v>
      </c>
      <c r="F256" s="4" t="s">
        <v>34</v>
      </c>
      <c r="G256" s="4">
        <v>24</v>
      </c>
      <c r="H256" s="4">
        <v>61</v>
      </c>
      <c r="I256" s="4">
        <v>24</v>
      </c>
      <c r="J256" s="4">
        <v>60</v>
      </c>
      <c r="K256" s="4">
        <v>25</v>
      </c>
      <c r="L256" s="4">
        <v>61</v>
      </c>
      <c r="M256" s="4">
        <v>24</v>
      </c>
      <c r="N256" s="4">
        <v>60</v>
      </c>
      <c r="O256" s="4">
        <v>23</v>
      </c>
      <c r="P256" s="40">
        <v>62</v>
      </c>
      <c r="Q256" s="41"/>
      <c r="R256" s="52">
        <v>24</v>
      </c>
      <c r="S256" s="9">
        <v>60</v>
      </c>
      <c r="T256" s="9">
        <v>25</v>
      </c>
      <c r="U256" s="9">
        <v>59</v>
      </c>
      <c r="V256" s="9">
        <v>24</v>
      </c>
      <c r="W256" s="9">
        <v>62</v>
      </c>
      <c r="X256" s="11">
        <v>24</v>
      </c>
      <c r="Y256" s="11">
        <v>60.8</v>
      </c>
    </row>
    <row r="257" spans="3:25" ht="15" thickBot="1" x14ac:dyDescent="0.35">
      <c r="C257" s="23"/>
      <c r="D257" s="27"/>
      <c r="E257" s="8">
        <v>0.54166666666666663</v>
      </c>
      <c r="F257" s="9" t="s">
        <v>34</v>
      </c>
      <c r="G257" s="9">
        <v>27</v>
      </c>
      <c r="H257" s="9">
        <v>58</v>
      </c>
      <c r="I257" s="9">
        <v>27</v>
      </c>
      <c r="J257" s="9">
        <v>57</v>
      </c>
      <c r="K257" s="9">
        <v>28</v>
      </c>
      <c r="L257" s="9">
        <v>58</v>
      </c>
      <c r="M257" s="9">
        <v>26</v>
      </c>
      <c r="N257" s="9">
        <v>58</v>
      </c>
      <c r="O257" s="9">
        <v>26</v>
      </c>
      <c r="P257" s="42">
        <v>59</v>
      </c>
      <c r="Q257" s="43"/>
      <c r="R257" s="56">
        <v>26</v>
      </c>
      <c r="S257" s="4">
        <v>57</v>
      </c>
      <c r="T257" s="4">
        <v>27</v>
      </c>
      <c r="U257" s="4">
        <v>56</v>
      </c>
      <c r="V257" s="4">
        <v>27</v>
      </c>
      <c r="W257" s="4">
        <v>59</v>
      </c>
      <c r="X257" s="9">
        <v>26.8</v>
      </c>
      <c r="Y257" s="9">
        <v>58</v>
      </c>
    </row>
    <row r="258" spans="3:25" ht="15" thickBot="1" x14ac:dyDescent="0.35">
      <c r="C258" s="25"/>
      <c r="D258" s="28"/>
      <c r="E258" s="10">
        <v>0.625</v>
      </c>
      <c r="F258" s="4" t="s">
        <v>34</v>
      </c>
      <c r="G258" s="4">
        <v>28</v>
      </c>
      <c r="H258" s="4">
        <v>55</v>
      </c>
      <c r="I258" s="4">
        <v>29</v>
      </c>
      <c r="J258" s="4">
        <v>53</v>
      </c>
      <c r="K258" s="4">
        <v>28</v>
      </c>
      <c r="L258" s="4">
        <v>55</v>
      </c>
      <c r="M258" s="4">
        <v>27</v>
      </c>
      <c r="N258" s="4">
        <v>54</v>
      </c>
      <c r="O258" s="4">
        <v>28</v>
      </c>
      <c r="P258" s="40">
        <v>55</v>
      </c>
      <c r="Q258" s="41"/>
      <c r="R258" s="52">
        <v>27</v>
      </c>
      <c r="S258" s="9">
        <v>54</v>
      </c>
      <c r="T258" s="9">
        <v>28</v>
      </c>
      <c r="U258" s="9">
        <v>53</v>
      </c>
      <c r="V258" s="9">
        <v>27</v>
      </c>
      <c r="W258" s="9">
        <v>57</v>
      </c>
      <c r="X258" s="11">
        <v>28</v>
      </c>
      <c r="Y258" s="11">
        <v>54.4</v>
      </c>
    </row>
    <row r="259" spans="3:25" ht="15" thickBot="1" x14ac:dyDescent="0.35">
      <c r="C259" s="24">
        <v>2</v>
      </c>
      <c r="D259" s="26">
        <v>44950</v>
      </c>
      <c r="E259" s="8">
        <v>0.375</v>
      </c>
      <c r="F259" s="9" t="s">
        <v>34</v>
      </c>
      <c r="G259" s="9">
        <v>21</v>
      </c>
      <c r="H259" s="9">
        <v>64</v>
      </c>
      <c r="I259" s="9">
        <v>22</v>
      </c>
      <c r="J259" s="9">
        <v>63</v>
      </c>
      <c r="K259" s="9">
        <v>22</v>
      </c>
      <c r="L259" s="9">
        <v>63</v>
      </c>
      <c r="M259" s="9">
        <v>23</v>
      </c>
      <c r="N259" s="9">
        <v>62</v>
      </c>
      <c r="O259" s="9">
        <v>22</v>
      </c>
      <c r="P259" s="42">
        <v>64</v>
      </c>
      <c r="Q259" s="43"/>
      <c r="R259" s="56">
        <v>22</v>
      </c>
      <c r="S259" s="4">
        <v>63</v>
      </c>
      <c r="T259" s="4">
        <v>23</v>
      </c>
      <c r="U259" s="4">
        <v>62</v>
      </c>
      <c r="V259" s="4">
        <v>22</v>
      </c>
      <c r="W259" s="4">
        <v>64</v>
      </c>
      <c r="X259" s="9">
        <v>22</v>
      </c>
      <c r="Y259" s="9">
        <v>63.2</v>
      </c>
    </row>
    <row r="260" spans="3:25" ht="15" thickBot="1" x14ac:dyDescent="0.35">
      <c r="C260" s="23"/>
      <c r="D260" s="27"/>
      <c r="E260" s="10">
        <v>0.45833333333333331</v>
      </c>
      <c r="F260" s="4" t="s">
        <v>34</v>
      </c>
      <c r="G260" s="4">
        <v>23</v>
      </c>
      <c r="H260" s="4">
        <v>62</v>
      </c>
      <c r="I260" s="4">
        <v>24</v>
      </c>
      <c r="J260" s="4">
        <v>61</v>
      </c>
      <c r="K260" s="4">
        <v>24</v>
      </c>
      <c r="L260" s="4">
        <v>60</v>
      </c>
      <c r="M260" s="4">
        <v>25</v>
      </c>
      <c r="N260" s="4">
        <v>59</v>
      </c>
      <c r="O260" s="4">
        <v>24</v>
      </c>
      <c r="P260" s="40">
        <v>61</v>
      </c>
      <c r="Q260" s="41"/>
      <c r="R260" s="52">
        <v>24</v>
      </c>
      <c r="S260" s="9">
        <v>60</v>
      </c>
      <c r="T260" s="9">
        <v>25</v>
      </c>
      <c r="U260" s="9">
        <v>59</v>
      </c>
      <c r="V260" s="9">
        <v>24</v>
      </c>
      <c r="W260" s="9">
        <v>61</v>
      </c>
      <c r="X260" s="11">
        <v>24</v>
      </c>
      <c r="Y260" s="11">
        <v>60.6</v>
      </c>
    </row>
    <row r="261" spans="3:25" ht="15" thickBot="1" x14ac:dyDescent="0.35">
      <c r="C261" s="23"/>
      <c r="D261" s="27"/>
      <c r="E261" s="8">
        <v>0.54166666666666663</v>
      </c>
      <c r="F261" s="9" t="s">
        <v>34</v>
      </c>
      <c r="G261" s="9">
        <v>26</v>
      </c>
      <c r="H261" s="9">
        <v>59</v>
      </c>
      <c r="I261" s="9">
        <v>27</v>
      </c>
      <c r="J261" s="9">
        <v>58</v>
      </c>
      <c r="K261" s="9">
        <v>26</v>
      </c>
      <c r="L261" s="9">
        <v>57</v>
      </c>
      <c r="M261" s="9">
        <v>27</v>
      </c>
      <c r="N261" s="9">
        <v>56</v>
      </c>
      <c r="O261" s="9">
        <v>26</v>
      </c>
      <c r="P261" s="42">
        <v>57</v>
      </c>
      <c r="Q261" s="43"/>
      <c r="R261" s="56">
        <v>26</v>
      </c>
      <c r="S261" s="4">
        <v>57</v>
      </c>
      <c r="T261" s="4">
        <v>27</v>
      </c>
      <c r="U261" s="4">
        <v>56</v>
      </c>
      <c r="V261" s="4">
        <v>26</v>
      </c>
      <c r="W261" s="4">
        <v>57</v>
      </c>
      <c r="X261" s="9">
        <v>26.4</v>
      </c>
      <c r="Y261" s="9">
        <v>57.4</v>
      </c>
    </row>
    <row r="262" spans="3:25" ht="15" thickBot="1" x14ac:dyDescent="0.35">
      <c r="C262" s="25"/>
      <c r="D262" s="28"/>
      <c r="E262" s="10">
        <v>0.625</v>
      </c>
      <c r="F262" s="4" t="s">
        <v>34</v>
      </c>
      <c r="G262" s="4">
        <v>27</v>
      </c>
      <c r="H262" s="4">
        <v>55</v>
      </c>
      <c r="I262" s="4">
        <v>28</v>
      </c>
      <c r="J262" s="4">
        <v>55</v>
      </c>
      <c r="K262" s="4">
        <v>28</v>
      </c>
      <c r="L262" s="4">
        <v>54</v>
      </c>
      <c r="M262" s="4">
        <v>27</v>
      </c>
      <c r="N262" s="4">
        <v>53</v>
      </c>
      <c r="O262" s="4">
        <v>27</v>
      </c>
      <c r="P262" s="40">
        <v>54</v>
      </c>
      <c r="Q262" s="41"/>
      <c r="R262" s="52">
        <v>28</v>
      </c>
      <c r="S262" s="9">
        <v>54</v>
      </c>
      <c r="T262" s="9">
        <v>27</v>
      </c>
      <c r="U262" s="9">
        <v>53</v>
      </c>
      <c r="V262" s="9">
        <v>27</v>
      </c>
      <c r="W262" s="9">
        <v>54</v>
      </c>
      <c r="X262" s="11">
        <v>27.4</v>
      </c>
      <c r="Y262" s="11">
        <v>54.2</v>
      </c>
    </row>
    <row r="263" spans="3:25" ht="15" thickBot="1" x14ac:dyDescent="0.35">
      <c r="C263" s="24">
        <v>3</v>
      </c>
      <c r="D263" s="26">
        <v>44951</v>
      </c>
      <c r="E263" s="8">
        <v>0.375</v>
      </c>
      <c r="F263" s="9" t="s">
        <v>34</v>
      </c>
      <c r="G263" s="9">
        <v>22</v>
      </c>
      <c r="H263" s="9">
        <v>63</v>
      </c>
      <c r="I263" s="9">
        <v>23</v>
      </c>
      <c r="J263" s="9">
        <v>63</v>
      </c>
      <c r="K263" s="9">
        <v>23</v>
      </c>
      <c r="L263" s="9">
        <v>62</v>
      </c>
      <c r="M263" s="9">
        <v>24</v>
      </c>
      <c r="N263" s="9">
        <v>62</v>
      </c>
      <c r="O263" s="9">
        <v>22</v>
      </c>
      <c r="P263" s="42">
        <v>64</v>
      </c>
      <c r="Q263" s="43"/>
      <c r="R263" s="56">
        <v>21</v>
      </c>
      <c r="S263" s="4">
        <v>64</v>
      </c>
      <c r="T263" s="4">
        <v>21</v>
      </c>
      <c r="U263" s="4">
        <v>63</v>
      </c>
      <c r="V263" s="4">
        <v>22</v>
      </c>
      <c r="W263" s="4">
        <v>62</v>
      </c>
      <c r="X263" s="9">
        <v>22.8</v>
      </c>
      <c r="Y263" s="9">
        <v>62.8</v>
      </c>
    </row>
    <row r="264" spans="3:25" ht="15" thickBot="1" x14ac:dyDescent="0.35">
      <c r="C264" s="23"/>
      <c r="D264" s="27"/>
      <c r="E264" s="10">
        <v>0.45833333333333331</v>
      </c>
      <c r="F264" s="4" t="s">
        <v>34</v>
      </c>
      <c r="G264" s="4">
        <v>25</v>
      </c>
      <c r="H264" s="4">
        <v>61</v>
      </c>
      <c r="I264" s="4">
        <v>24</v>
      </c>
      <c r="J264" s="4">
        <v>60</v>
      </c>
      <c r="K264" s="4">
        <v>25</v>
      </c>
      <c r="L264" s="4">
        <v>60</v>
      </c>
      <c r="M264" s="4">
        <v>26</v>
      </c>
      <c r="N264" s="4">
        <v>59</v>
      </c>
      <c r="O264" s="4">
        <v>24</v>
      </c>
      <c r="P264" s="40">
        <v>61</v>
      </c>
      <c r="Q264" s="41"/>
      <c r="R264" s="52">
        <v>23</v>
      </c>
      <c r="S264" s="9">
        <v>62</v>
      </c>
      <c r="T264" s="9">
        <v>23</v>
      </c>
      <c r="U264" s="9">
        <v>61</v>
      </c>
      <c r="V264" s="9">
        <v>25</v>
      </c>
      <c r="W264" s="9">
        <v>60</v>
      </c>
      <c r="X264" s="11">
        <v>24.8</v>
      </c>
      <c r="Y264" s="11">
        <v>60.2</v>
      </c>
    </row>
    <row r="265" spans="3:25" ht="15" thickBot="1" x14ac:dyDescent="0.35">
      <c r="C265" s="23"/>
      <c r="D265" s="27"/>
      <c r="E265" s="8">
        <v>0.54166666666666663</v>
      </c>
      <c r="F265" s="9" t="s">
        <v>34</v>
      </c>
      <c r="G265" s="9">
        <v>27</v>
      </c>
      <c r="H265" s="9">
        <v>58</v>
      </c>
      <c r="I265" s="9">
        <v>27</v>
      </c>
      <c r="J265" s="9">
        <v>57</v>
      </c>
      <c r="K265" s="9">
        <v>26</v>
      </c>
      <c r="L265" s="9">
        <v>57</v>
      </c>
      <c r="M265" s="9">
        <v>28</v>
      </c>
      <c r="N265" s="9">
        <v>56</v>
      </c>
      <c r="O265" s="9">
        <v>27</v>
      </c>
      <c r="P265" s="42">
        <v>57</v>
      </c>
      <c r="Q265" s="43"/>
      <c r="R265" s="56">
        <v>25</v>
      </c>
      <c r="S265" s="4">
        <v>59</v>
      </c>
      <c r="T265" s="4">
        <v>26</v>
      </c>
      <c r="U265" s="4">
        <v>58</v>
      </c>
      <c r="V265" s="4">
        <v>27</v>
      </c>
      <c r="W265" s="4">
        <v>57</v>
      </c>
      <c r="X265" s="9">
        <v>27</v>
      </c>
      <c r="Y265" s="9">
        <v>57</v>
      </c>
    </row>
    <row r="266" spans="3:25" ht="15" thickBot="1" x14ac:dyDescent="0.35">
      <c r="C266" s="25"/>
      <c r="D266" s="28"/>
      <c r="E266" s="10">
        <v>0.625</v>
      </c>
      <c r="F266" s="4" t="s">
        <v>34</v>
      </c>
      <c r="G266" s="4">
        <v>28</v>
      </c>
      <c r="H266" s="4">
        <v>55</v>
      </c>
      <c r="I266" s="4">
        <v>29</v>
      </c>
      <c r="J266" s="4">
        <v>54</v>
      </c>
      <c r="K266" s="4">
        <v>28</v>
      </c>
      <c r="L266" s="4">
        <v>53</v>
      </c>
      <c r="M266" s="4">
        <v>30</v>
      </c>
      <c r="N266" s="4">
        <v>53</v>
      </c>
      <c r="O266" s="4">
        <v>29</v>
      </c>
      <c r="P266" s="40">
        <v>54</v>
      </c>
      <c r="Q266" s="41"/>
      <c r="R266" s="52">
        <v>27</v>
      </c>
      <c r="S266" s="9">
        <v>56</v>
      </c>
      <c r="T266" s="9">
        <v>27</v>
      </c>
      <c r="U266" s="9">
        <v>54</v>
      </c>
      <c r="V266" s="9">
        <v>27</v>
      </c>
      <c r="W266" s="9">
        <v>54</v>
      </c>
      <c r="X266" s="11">
        <v>28.8</v>
      </c>
      <c r="Y266" s="11">
        <v>53.8</v>
      </c>
    </row>
    <row r="267" spans="3:25" ht="15" thickBot="1" x14ac:dyDescent="0.35">
      <c r="C267" s="24">
        <v>4</v>
      </c>
      <c r="D267" s="26">
        <v>44952</v>
      </c>
      <c r="E267" s="8">
        <v>0.375</v>
      </c>
      <c r="F267" s="9" t="s">
        <v>34</v>
      </c>
      <c r="G267" s="9">
        <v>22</v>
      </c>
      <c r="H267" s="9">
        <v>62</v>
      </c>
      <c r="I267" s="9">
        <v>22</v>
      </c>
      <c r="J267" s="9">
        <v>62</v>
      </c>
      <c r="K267" s="9">
        <v>23</v>
      </c>
      <c r="L267" s="9">
        <v>63</v>
      </c>
      <c r="M267" s="9">
        <v>21</v>
      </c>
      <c r="N267" s="9">
        <v>65</v>
      </c>
      <c r="O267" s="9">
        <v>23</v>
      </c>
      <c r="P267" s="42">
        <v>63</v>
      </c>
      <c r="Q267" s="43"/>
      <c r="R267" s="56">
        <v>23</v>
      </c>
      <c r="S267" s="4">
        <v>63</v>
      </c>
      <c r="T267" s="4">
        <v>23</v>
      </c>
      <c r="U267" s="4">
        <v>62</v>
      </c>
      <c r="V267" s="4">
        <v>22</v>
      </c>
      <c r="W267" s="4">
        <v>63</v>
      </c>
      <c r="X267" s="9">
        <v>22.2</v>
      </c>
      <c r="Y267" s="9">
        <v>63</v>
      </c>
    </row>
    <row r="268" spans="3:25" ht="15" thickBot="1" x14ac:dyDescent="0.35">
      <c r="C268" s="23"/>
      <c r="D268" s="27"/>
      <c r="E268" s="10">
        <v>0.45833333333333331</v>
      </c>
      <c r="F268" s="4" t="s">
        <v>34</v>
      </c>
      <c r="G268" s="4">
        <v>24</v>
      </c>
      <c r="H268" s="4">
        <v>60</v>
      </c>
      <c r="I268" s="4">
        <v>25</v>
      </c>
      <c r="J268" s="4">
        <v>59</v>
      </c>
      <c r="K268" s="4">
        <v>25</v>
      </c>
      <c r="L268" s="4">
        <v>61</v>
      </c>
      <c r="M268" s="4">
        <v>23</v>
      </c>
      <c r="N268" s="4">
        <v>62</v>
      </c>
      <c r="O268" s="4">
        <v>25</v>
      </c>
      <c r="P268" s="40">
        <v>61</v>
      </c>
      <c r="Q268" s="41"/>
      <c r="R268" s="52">
        <v>25</v>
      </c>
      <c r="S268" s="9">
        <v>61</v>
      </c>
      <c r="T268" s="9">
        <v>24</v>
      </c>
      <c r="U268" s="9">
        <v>60</v>
      </c>
      <c r="V268" s="9">
        <v>24</v>
      </c>
      <c r="W268" s="9">
        <v>61</v>
      </c>
      <c r="X268" s="11">
        <v>24.4</v>
      </c>
      <c r="Y268" s="11">
        <v>60.6</v>
      </c>
    </row>
    <row r="269" spans="3:25" ht="15" thickBot="1" x14ac:dyDescent="0.35">
      <c r="C269" s="23"/>
      <c r="D269" s="27"/>
      <c r="E269" s="8">
        <v>0.54166666666666663</v>
      </c>
      <c r="F269" s="9" t="s">
        <v>34</v>
      </c>
      <c r="G269" s="9">
        <v>26</v>
      </c>
      <c r="H269" s="9">
        <v>58</v>
      </c>
      <c r="I269" s="9">
        <v>27</v>
      </c>
      <c r="J269" s="9">
        <v>57</v>
      </c>
      <c r="K269" s="9">
        <v>26</v>
      </c>
      <c r="L269" s="9">
        <v>58</v>
      </c>
      <c r="M269" s="9">
        <v>25</v>
      </c>
      <c r="N269" s="9">
        <v>59</v>
      </c>
      <c r="O269" s="9">
        <v>26</v>
      </c>
      <c r="P269" s="42">
        <v>58</v>
      </c>
      <c r="Q269" s="43"/>
      <c r="R269" s="56">
        <v>27</v>
      </c>
      <c r="S269" s="4">
        <v>58</v>
      </c>
      <c r="T269" s="4">
        <v>27</v>
      </c>
      <c r="U269" s="4">
        <v>57</v>
      </c>
      <c r="V269" s="4">
        <v>26</v>
      </c>
      <c r="W269" s="4">
        <v>58</v>
      </c>
      <c r="X269" s="9">
        <v>26</v>
      </c>
      <c r="Y269" s="9">
        <v>58</v>
      </c>
    </row>
    <row r="270" spans="3:25" ht="15" thickBot="1" x14ac:dyDescent="0.35">
      <c r="C270" s="25"/>
      <c r="D270" s="28"/>
      <c r="E270" s="10">
        <v>0.625</v>
      </c>
      <c r="F270" s="4" t="s">
        <v>34</v>
      </c>
      <c r="G270" s="4">
        <v>28</v>
      </c>
      <c r="H270" s="4">
        <v>55</v>
      </c>
      <c r="I270" s="4">
        <v>29</v>
      </c>
      <c r="J270" s="4">
        <v>54</v>
      </c>
      <c r="K270" s="4">
        <v>28</v>
      </c>
      <c r="L270" s="4">
        <v>55</v>
      </c>
      <c r="M270" s="4">
        <v>27</v>
      </c>
      <c r="N270" s="4">
        <v>57</v>
      </c>
      <c r="O270" s="4">
        <v>28</v>
      </c>
      <c r="P270" s="40">
        <v>54</v>
      </c>
      <c r="Q270" s="41"/>
      <c r="R270" s="52">
        <v>29</v>
      </c>
      <c r="S270" s="9">
        <v>55</v>
      </c>
      <c r="T270" s="9">
        <v>28</v>
      </c>
      <c r="U270" s="9">
        <v>54</v>
      </c>
      <c r="V270" s="9">
        <v>28</v>
      </c>
      <c r="W270" s="9">
        <v>54</v>
      </c>
      <c r="X270" s="11">
        <v>28</v>
      </c>
      <c r="Y270" s="11">
        <v>55</v>
      </c>
    </row>
    <row r="271" spans="3:25" ht="15" thickBot="1" x14ac:dyDescent="0.35">
      <c r="C271" s="24">
        <v>5</v>
      </c>
      <c r="D271" s="26">
        <v>44953</v>
      </c>
      <c r="E271" s="8">
        <v>0.375</v>
      </c>
      <c r="F271" s="9" t="s">
        <v>34</v>
      </c>
      <c r="G271" s="9">
        <v>23</v>
      </c>
      <c r="H271" s="9">
        <v>63</v>
      </c>
      <c r="I271" s="9">
        <v>23</v>
      </c>
      <c r="J271" s="9">
        <v>62</v>
      </c>
      <c r="K271" s="9">
        <v>22</v>
      </c>
      <c r="L271" s="9">
        <v>62</v>
      </c>
      <c r="M271" s="9">
        <v>22</v>
      </c>
      <c r="N271" s="9">
        <v>64</v>
      </c>
      <c r="O271" s="9">
        <v>21</v>
      </c>
      <c r="P271" s="42">
        <v>64</v>
      </c>
      <c r="Q271" s="43"/>
      <c r="R271" s="56">
        <v>21</v>
      </c>
      <c r="S271" s="4">
        <v>65</v>
      </c>
      <c r="T271" s="4">
        <v>22</v>
      </c>
      <c r="U271" s="4">
        <v>64</v>
      </c>
      <c r="V271" s="4">
        <v>22</v>
      </c>
      <c r="W271" s="4">
        <v>63</v>
      </c>
      <c r="X271" s="9">
        <v>22.2</v>
      </c>
      <c r="Y271" s="9">
        <v>63</v>
      </c>
    </row>
    <row r="272" spans="3:25" ht="15" thickBot="1" x14ac:dyDescent="0.35">
      <c r="C272" s="23"/>
      <c r="D272" s="27"/>
      <c r="E272" s="10">
        <v>0.45833333333333331</v>
      </c>
      <c r="F272" s="4" t="s">
        <v>34</v>
      </c>
      <c r="G272" s="4">
        <v>25</v>
      </c>
      <c r="H272" s="4">
        <v>61</v>
      </c>
      <c r="I272" s="4">
        <v>24</v>
      </c>
      <c r="J272" s="4">
        <v>60</v>
      </c>
      <c r="K272" s="4">
        <v>25</v>
      </c>
      <c r="L272" s="4">
        <v>59</v>
      </c>
      <c r="M272" s="4">
        <v>24</v>
      </c>
      <c r="N272" s="4">
        <v>62</v>
      </c>
      <c r="O272" s="4">
        <v>23</v>
      </c>
      <c r="P272" s="40">
        <v>61</v>
      </c>
      <c r="Q272" s="41"/>
      <c r="R272" s="52">
        <v>24</v>
      </c>
      <c r="S272" s="9">
        <v>62</v>
      </c>
      <c r="T272" s="9">
        <v>25</v>
      </c>
      <c r="U272" s="9">
        <v>62</v>
      </c>
      <c r="V272" s="9">
        <v>25</v>
      </c>
      <c r="W272" s="9">
        <v>61</v>
      </c>
      <c r="X272" s="11">
        <v>24.2</v>
      </c>
      <c r="Y272" s="11">
        <v>60.6</v>
      </c>
    </row>
    <row r="273" spans="3:25" ht="15" thickBot="1" x14ac:dyDescent="0.35">
      <c r="C273" s="23"/>
      <c r="D273" s="27"/>
      <c r="E273" s="8">
        <v>0.54166666666666663</v>
      </c>
      <c r="F273" s="9" t="s">
        <v>34</v>
      </c>
      <c r="G273" s="9">
        <v>27</v>
      </c>
      <c r="H273" s="9">
        <v>58</v>
      </c>
      <c r="I273" s="9">
        <v>26</v>
      </c>
      <c r="J273" s="9">
        <v>57</v>
      </c>
      <c r="K273" s="9">
        <v>27</v>
      </c>
      <c r="L273" s="9">
        <v>56</v>
      </c>
      <c r="M273" s="9">
        <v>27</v>
      </c>
      <c r="N273" s="9">
        <v>59</v>
      </c>
      <c r="O273" s="9">
        <v>26</v>
      </c>
      <c r="P273" s="42">
        <v>58</v>
      </c>
      <c r="Q273" s="43"/>
      <c r="R273" s="56">
        <v>27</v>
      </c>
      <c r="S273" s="4">
        <v>60</v>
      </c>
      <c r="T273" s="4">
        <v>27</v>
      </c>
      <c r="U273" s="4">
        <v>59</v>
      </c>
      <c r="V273" s="4">
        <v>26</v>
      </c>
      <c r="W273" s="4">
        <v>58</v>
      </c>
      <c r="X273" s="9">
        <v>26.6</v>
      </c>
      <c r="Y273" s="9">
        <v>57.6</v>
      </c>
    </row>
    <row r="274" spans="3:25" ht="15" thickBot="1" x14ac:dyDescent="0.35">
      <c r="C274" s="25"/>
      <c r="D274" s="28"/>
      <c r="E274" s="10">
        <v>0.625</v>
      </c>
      <c r="F274" s="4" t="s">
        <v>34</v>
      </c>
      <c r="G274" s="4">
        <v>29</v>
      </c>
      <c r="H274" s="4">
        <v>55</v>
      </c>
      <c r="I274" s="4">
        <v>27</v>
      </c>
      <c r="J274" s="4">
        <v>54</v>
      </c>
      <c r="K274" s="4">
        <v>28</v>
      </c>
      <c r="L274" s="4">
        <v>53</v>
      </c>
      <c r="M274" s="4">
        <v>27</v>
      </c>
      <c r="N274" s="4">
        <v>57</v>
      </c>
      <c r="O274" s="4">
        <v>28</v>
      </c>
      <c r="P274" s="40">
        <v>54</v>
      </c>
      <c r="Q274" s="41"/>
      <c r="R274" s="52">
        <v>28</v>
      </c>
      <c r="S274" s="9">
        <v>57</v>
      </c>
      <c r="T274" s="9">
        <v>29</v>
      </c>
      <c r="U274" s="9">
        <v>56</v>
      </c>
      <c r="V274" s="9">
        <v>28</v>
      </c>
      <c r="W274" s="9">
        <v>54</v>
      </c>
      <c r="X274" s="11">
        <v>27.8</v>
      </c>
      <c r="Y274" s="11">
        <v>54.6</v>
      </c>
    </row>
    <row r="275" spans="3:25" ht="15" thickBot="1" x14ac:dyDescent="0.35">
      <c r="C275" s="24">
        <v>6</v>
      </c>
      <c r="D275" s="26">
        <v>44954</v>
      </c>
      <c r="E275" s="8">
        <v>0.375</v>
      </c>
      <c r="F275" s="9" t="s">
        <v>34</v>
      </c>
      <c r="G275" s="9">
        <v>23</v>
      </c>
      <c r="H275" s="9">
        <v>62</v>
      </c>
      <c r="I275" s="9">
        <v>22</v>
      </c>
      <c r="J275" s="9">
        <v>63</v>
      </c>
      <c r="K275" s="9">
        <v>23</v>
      </c>
      <c r="L275" s="9">
        <v>62</v>
      </c>
      <c r="M275" s="9">
        <v>22</v>
      </c>
      <c r="N275" s="9">
        <v>63</v>
      </c>
      <c r="O275" s="9">
        <v>22</v>
      </c>
      <c r="P275" s="42">
        <v>63</v>
      </c>
      <c r="Q275" s="43"/>
      <c r="R275" s="56">
        <v>23</v>
      </c>
      <c r="S275" s="4">
        <v>63</v>
      </c>
      <c r="T275" s="4">
        <v>22</v>
      </c>
      <c r="U275" s="4">
        <v>64</v>
      </c>
      <c r="V275" s="4">
        <v>22</v>
      </c>
      <c r="W275" s="4">
        <v>63</v>
      </c>
      <c r="X275" s="9">
        <v>22.4</v>
      </c>
      <c r="Y275" s="9">
        <v>62.6</v>
      </c>
    </row>
    <row r="276" spans="3:25" ht="15" thickBot="1" x14ac:dyDescent="0.35">
      <c r="C276" s="23"/>
      <c r="D276" s="27"/>
      <c r="E276" s="10">
        <v>0.45833333333333331</v>
      </c>
      <c r="F276" s="4" t="s">
        <v>34</v>
      </c>
      <c r="G276" s="4">
        <v>24</v>
      </c>
      <c r="H276" s="4">
        <v>60</v>
      </c>
      <c r="I276" s="4">
        <v>25</v>
      </c>
      <c r="J276" s="4">
        <v>61</v>
      </c>
      <c r="K276" s="4">
        <v>25</v>
      </c>
      <c r="L276" s="4">
        <v>59</v>
      </c>
      <c r="M276" s="4">
        <v>24</v>
      </c>
      <c r="N276" s="4">
        <v>61</v>
      </c>
      <c r="O276" s="4">
        <v>25</v>
      </c>
      <c r="P276" s="40">
        <v>60</v>
      </c>
      <c r="Q276" s="41"/>
      <c r="R276" s="52">
        <v>25</v>
      </c>
      <c r="S276" s="9">
        <v>61</v>
      </c>
      <c r="T276" s="9">
        <v>25</v>
      </c>
      <c r="U276" s="9">
        <v>62</v>
      </c>
      <c r="V276" s="9">
        <v>25</v>
      </c>
      <c r="W276" s="9">
        <v>61</v>
      </c>
      <c r="X276" s="11">
        <v>24.6</v>
      </c>
      <c r="Y276" s="11">
        <v>60.2</v>
      </c>
    </row>
    <row r="277" spans="3:25" ht="15" thickBot="1" x14ac:dyDescent="0.35">
      <c r="C277" s="23"/>
      <c r="D277" s="27"/>
      <c r="E277" s="8">
        <v>0.54166666666666663</v>
      </c>
      <c r="F277" s="9" t="s">
        <v>34</v>
      </c>
      <c r="G277" s="9">
        <v>26</v>
      </c>
      <c r="H277" s="9">
        <v>57</v>
      </c>
      <c r="I277" s="9">
        <v>27</v>
      </c>
      <c r="J277" s="9">
        <v>58</v>
      </c>
      <c r="K277" s="9">
        <v>27</v>
      </c>
      <c r="L277" s="9">
        <v>58</v>
      </c>
      <c r="M277" s="9">
        <v>26</v>
      </c>
      <c r="N277" s="9">
        <v>59</v>
      </c>
      <c r="O277" s="9">
        <v>27</v>
      </c>
      <c r="P277" s="42">
        <v>57</v>
      </c>
      <c r="Q277" s="43"/>
      <c r="R277" s="56">
        <v>26</v>
      </c>
      <c r="S277" s="4">
        <v>58</v>
      </c>
      <c r="T277" s="4">
        <v>27</v>
      </c>
      <c r="U277" s="4">
        <v>59</v>
      </c>
      <c r="V277" s="4">
        <v>26</v>
      </c>
      <c r="W277" s="4">
        <v>58</v>
      </c>
      <c r="X277" s="9">
        <v>26.6</v>
      </c>
      <c r="Y277" s="9">
        <v>57.8</v>
      </c>
    </row>
    <row r="278" spans="3:25" ht="15" thickBot="1" x14ac:dyDescent="0.35">
      <c r="C278" s="25"/>
      <c r="D278" s="28"/>
      <c r="E278" s="10">
        <v>0.625</v>
      </c>
      <c r="F278" s="4" t="s">
        <v>34</v>
      </c>
      <c r="G278" s="4">
        <v>27</v>
      </c>
      <c r="H278" s="4">
        <v>55</v>
      </c>
      <c r="I278" s="4">
        <v>28</v>
      </c>
      <c r="J278" s="4">
        <v>55</v>
      </c>
      <c r="K278" s="4">
        <v>29</v>
      </c>
      <c r="L278" s="4">
        <v>56</v>
      </c>
      <c r="M278" s="4">
        <v>27</v>
      </c>
      <c r="N278" s="4">
        <v>55</v>
      </c>
      <c r="O278" s="4">
        <v>28</v>
      </c>
      <c r="P278" s="40">
        <v>54</v>
      </c>
      <c r="Q278" s="41"/>
      <c r="R278" s="52">
        <v>28</v>
      </c>
      <c r="S278" s="9">
        <v>55</v>
      </c>
      <c r="T278" s="9">
        <v>29</v>
      </c>
      <c r="U278" s="9">
        <v>56</v>
      </c>
      <c r="V278" s="9">
        <v>28</v>
      </c>
      <c r="W278" s="9">
        <v>54</v>
      </c>
      <c r="X278" s="11">
        <v>27.8</v>
      </c>
      <c r="Y278" s="11">
        <v>55</v>
      </c>
    </row>
    <row r="279" spans="3:25" ht="15" thickBot="1" x14ac:dyDescent="0.35">
      <c r="C279" s="24">
        <v>7</v>
      </c>
      <c r="D279" s="26">
        <v>44955</v>
      </c>
      <c r="E279" s="8">
        <v>0.375</v>
      </c>
      <c r="F279" s="9" t="s">
        <v>34</v>
      </c>
      <c r="G279" s="9">
        <v>23</v>
      </c>
      <c r="H279" s="9">
        <v>62</v>
      </c>
      <c r="I279" s="9">
        <v>22</v>
      </c>
      <c r="J279" s="9">
        <v>63</v>
      </c>
      <c r="K279" s="9">
        <v>21</v>
      </c>
      <c r="L279" s="9">
        <v>65</v>
      </c>
      <c r="M279" s="9">
        <v>22</v>
      </c>
      <c r="N279" s="9">
        <v>64</v>
      </c>
      <c r="O279" s="9">
        <v>22</v>
      </c>
      <c r="P279" s="42">
        <v>63</v>
      </c>
      <c r="Q279" s="43"/>
      <c r="R279" s="56">
        <v>23</v>
      </c>
      <c r="S279" s="4">
        <v>62</v>
      </c>
      <c r="T279" s="4">
        <v>23</v>
      </c>
      <c r="U279" s="4">
        <v>64</v>
      </c>
      <c r="V279" s="4">
        <v>22</v>
      </c>
      <c r="W279" s="4">
        <v>64</v>
      </c>
      <c r="X279" s="9">
        <v>22</v>
      </c>
      <c r="Y279" s="9">
        <v>63.4</v>
      </c>
    </row>
    <row r="280" spans="3:25" ht="15" thickBot="1" x14ac:dyDescent="0.35">
      <c r="C280" s="23"/>
      <c r="D280" s="27"/>
      <c r="E280" s="10">
        <v>0.45833333333333331</v>
      </c>
      <c r="F280" s="4" t="s">
        <v>34</v>
      </c>
      <c r="G280" s="4">
        <v>26</v>
      </c>
      <c r="H280" s="4">
        <v>60</v>
      </c>
      <c r="I280" s="4">
        <v>24</v>
      </c>
      <c r="J280" s="4">
        <v>61</v>
      </c>
      <c r="K280" s="4">
        <v>24</v>
      </c>
      <c r="L280" s="4">
        <v>62</v>
      </c>
      <c r="M280" s="4">
        <v>25</v>
      </c>
      <c r="N280" s="4">
        <v>62</v>
      </c>
      <c r="O280" s="4">
        <v>25</v>
      </c>
      <c r="P280" s="40">
        <v>61</v>
      </c>
      <c r="Q280" s="41"/>
      <c r="R280" s="52">
        <v>25</v>
      </c>
      <c r="S280" s="9">
        <v>60</v>
      </c>
      <c r="T280" s="9">
        <v>24</v>
      </c>
      <c r="U280" s="9">
        <v>61</v>
      </c>
      <c r="V280" s="9">
        <v>25</v>
      </c>
      <c r="W280" s="9">
        <v>62</v>
      </c>
      <c r="X280" s="11">
        <v>24.8</v>
      </c>
      <c r="Y280" s="11">
        <v>61.2</v>
      </c>
    </row>
    <row r="281" spans="3:25" ht="15" thickBot="1" x14ac:dyDescent="0.35">
      <c r="C281" s="23"/>
      <c r="D281" s="27"/>
      <c r="E281" s="8">
        <v>0.54166666666666663</v>
      </c>
      <c r="F281" s="9" t="s">
        <v>34</v>
      </c>
      <c r="G281" s="9">
        <v>28</v>
      </c>
      <c r="H281" s="9">
        <v>57</v>
      </c>
      <c r="I281" s="9">
        <v>26</v>
      </c>
      <c r="J281" s="9">
        <v>58</v>
      </c>
      <c r="K281" s="9">
        <v>27</v>
      </c>
      <c r="L281" s="9">
        <v>60</v>
      </c>
      <c r="M281" s="9">
        <v>27</v>
      </c>
      <c r="N281" s="9">
        <v>59</v>
      </c>
      <c r="O281" s="9">
        <v>26</v>
      </c>
      <c r="P281" s="42">
        <v>58</v>
      </c>
      <c r="Q281" s="43"/>
      <c r="R281" s="56">
        <v>27</v>
      </c>
      <c r="S281" s="4">
        <v>58</v>
      </c>
      <c r="T281" s="4">
        <v>26</v>
      </c>
      <c r="U281" s="4">
        <v>58</v>
      </c>
      <c r="V281" s="4">
        <v>27</v>
      </c>
      <c r="W281" s="4">
        <v>59</v>
      </c>
      <c r="X281" s="9">
        <v>26.8</v>
      </c>
      <c r="Y281" s="9">
        <v>58.4</v>
      </c>
    </row>
    <row r="282" spans="3:25" ht="15" thickBot="1" x14ac:dyDescent="0.35">
      <c r="C282" s="25"/>
      <c r="D282" s="28"/>
      <c r="E282" s="10">
        <v>0.625</v>
      </c>
      <c r="F282" s="4" t="s">
        <v>34</v>
      </c>
      <c r="G282" s="4">
        <v>29</v>
      </c>
      <c r="H282" s="4">
        <v>54</v>
      </c>
      <c r="I282" s="4">
        <v>27</v>
      </c>
      <c r="J282" s="4">
        <v>55</v>
      </c>
      <c r="K282" s="4">
        <v>28</v>
      </c>
      <c r="L282" s="4">
        <v>57</v>
      </c>
      <c r="M282" s="4">
        <v>29</v>
      </c>
      <c r="N282" s="4">
        <v>56</v>
      </c>
      <c r="O282" s="4">
        <v>28</v>
      </c>
      <c r="P282" s="40">
        <v>54</v>
      </c>
      <c r="Q282" s="41"/>
      <c r="R282" s="52">
        <v>28</v>
      </c>
      <c r="S282" s="9">
        <v>56</v>
      </c>
      <c r="T282" s="9">
        <v>28</v>
      </c>
      <c r="U282" s="9">
        <v>54</v>
      </c>
      <c r="V282" s="9">
        <v>27</v>
      </c>
      <c r="W282" s="9">
        <v>55</v>
      </c>
      <c r="X282" s="11">
        <v>28.2</v>
      </c>
      <c r="Y282" s="11">
        <v>55.2</v>
      </c>
    </row>
    <row r="283" spans="3:25" ht="15" thickBot="1" x14ac:dyDescent="0.35">
      <c r="C283" s="44" t="s">
        <v>10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6"/>
      <c r="X283" s="9">
        <v>25.31429</v>
      </c>
      <c r="Y283" s="9">
        <v>58.985709999999997</v>
      </c>
    </row>
    <row r="284" spans="3:25" ht="15" thickBot="1" x14ac:dyDescent="0.35">
      <c r="C284" s="47" t="s">
        <v>11</v>
      </c>
      <c r="D284" s="48"/>
      <c r="E284" s="48"/>
      <c r="F284" s="49"/>
      <c r="G284" s="11">
        <v>21</v>
      </c>
      <c r="H284" s="11">
        <v>54</v>
      </c>
      <c r="I284" s="11">
        <v>22</v>
      </c>
      <c r="J284" s="11">
        <v>53</v>
      </c>
      <c r="K284" s="11">
        <v>21</v>
      </c>
      <c r="L284" s="11">
        <v>53</v>
      </c>
      <c r="M284" s="11">
        <v>21</v>
      </c>
      <c r="N284" s="11">
        <v>53</v>
      </c>
      <c r="O284" s="11">
        <v>21</v>
      </c>
      <c r="P284" s="50">
        <v>54</v>
      </c>
      <c r="Q284" s="51"/>
      <c r="R284" s="11"/>
      <c r="S284" s="11"/>
    </row>
    <row r="285" spans="3:25" ht="15" thickBot="1" x14ac:dyDescent="0.35">
      <c r="C285" s="44" t="s">
        <v>12</v>
      </c>
      <c r="D285" s="45"/>
      <c r="E285" s="45"/>
      <c r="F285" s="46"/>
      <c r="G285" s="9">
        <v>29</v>
      </c>
      <c r="H285" s="9">
        <v>64</v>
      </c>
      <c r="I285" s="9">
        <v>29</v>
      </c>
      <c r="J285" s="9">
        <v>63</v>
      </c>
      <c r="K285" s="9">
        <v>29</v>
      </c>
      <c r="L285" s="9">
        <v>65</v>
      </c>
      <c r="M285" s="9">
        <v>30</v>
      </c>
      <c r="N285" s="9">
        <v>65</v>
      </c>
      <c r="O285" s="9">
        <v>29</v>
      </c>
      <c r="P285" s="42">
        <v>64</v>
      </c>
      <c r="Q285" s="43"/>
      <c r="R285" s="9"/>
      <c r="S285" s="9"/>
    </row>
    <row r="289" spans="3:24" x14ac:dyDescent="0.3">
      <c r="C289" t="s">
        <v>0</v>
      </c>
      <c r="D289" t="s">
        <v>1</v>
      </c>
      <c r="E289" t="s">
        <v>2</v>
      </c>
      <c r="F289" t="s">
        <v>13</v>
      </c>
      <c r="G289" t="s">
        <v>4</v>
      </c>
      <c r="H289" t="s">
        <v>14</v>
      </c>
      <c r="I289" t="s">
        <v>15</v>
      </c>
      <c r="J289" t="s">
        <v>16</v>
      </c>
      <c r="K289" t="s">
        <v>17</v>
      </c>
      <c r="L289" t="s">
        <v>18</v>
      </c>
      <c r="M289" t="s">
        <v>19</v>
      </c>
      <c r="N289" t="s">
        <v>20</v>
      </c>
      <c r="O289" t="s">
        <v>21</v>
      </c>
      <c r="P289" t="s">
        <v>22</v>
      </c>
      <c r="Q289" t="s">
        <v>5</v>
      </c>
      <c r="R289" t="s">
        <v>23</v>
      </c>
      <c r="S289" t="s">
        <v>24</v>
      </c>
      <c r="T289" t="s">
        <v>25</v>
      </c>
      <c r="U289" t="s">
        <v>26</v>
      </c>
      <c r="V289" t="s">
        <v>27</v>
      </c>
      <c r="W289" t="s">
        <v>28</v>
      </c>
      <c r="X289" t="s">
        <v>30</v>
      </c>
    </row>
    <row r="290" spans="3:24" x14ac:dyDescent="0.3">
      <c r="F290" t="s">
        <v>3</v>
      </c>
      <c r="G290">
        <v>1</v>
      </c>
      <c r="I290">
        <v>2</v>
      </c>
      <c r="K290">
        <v>3</v>
      </c>
      <c r="M290">
        <v>4</v>
      </c>
      <c r="O290">
        <v>5</v>
      </c>
      <c r="Q290">
        <v>6</v>
      </c>
      <c r="S290">
        <v>7</v>
      </c>
      <c r="U290">
        <v>8</v>
      </c>
    </row>
    <row r="291" spans="3:24" x14ac:dyDescent="0.3">
      <c r="G291" t="s">
        <v>6</v>
      </c>
      <c r="H291" t="s">
        <v>7</v>
      </c>
      <c r="I291" t="s">
        <v>6</v>
      </c>
      <c r="J291" t="s">
        <v>7</v>
      </c>
      <c r="K291" t="s">
        <v>6</v>
      </c>
      <c r="L291" t="s">
        <v>7</v>
      </c>
      <c r="M291" t="s">
        <v>6</v>
      </c>
      <c r="N291" t="s">
        <v>7</v>
      </c>
      <c r="O291" t="s">
        <v>6</v>
      </c>
      <c r="P291" t="s">
        <v>7</v>
      </c>
      <c r="Q291" t="s">
        <v>6</v>
      </c>
      <c r="R291" t="s">
        <v>7</v>
      </c>
      <c r="S291" t="s">
        <v>6</v>
      </c>
      <c r="T291" t="s">
        <v>7</v>
      </c>
      <c r="U291" t="s">
        <v>6</v>
      </c>
      <c r="V291" t="s">
        <v>7</v>
      </c>
      <c r="W291" t="s">
        <v>6</v>
      </c>
      <c r="X291" t="s">
        <v>7</v>
      </c>
    </row>
    <row r="292" spans="3:24" x14ac:dyDescent="0.3">
      <c r="C292">
        <v>1</v>
      </c>
      <c r="D292" s="6">
        <v>44949</v>
      </c>
      <c r="E292" s="7">
        <v>0.375</v>
      </c>
      <c r="F292" t="s">
        <v>35</v>
      </c>
      <c r="G292">
        <v>23</v>
      </c>
      <c r="H292">
        <v>62</v>
      </c>
      <c r="I292">
        <v>22</v>
      </c>
      <c r="J292">
        <v>64</v>
      </c>
      <c r="K292">
        <v>24</v>
      </c>
      <c r="L292">
        <v>61</v>
      </c>
      <c r="M292">
        <v>23</v>
      </c>
      <c r="N292">
        <v>63</v>
      </c>
      <c r="O292">
        <v>22</v>
      </c>
      <c r="P292">
        <v>62</v>
      </c>
      <c r="Q292">
        <v>24</v>
      </c>
      <c r="R292">
        <v>61</v>
      </c>
      <c r="S292">
        <v>23</v>
      </c>
      <c r="T292">
        <v>62</v>
      </c>
      <c r="U292">
        <v>22</v>
      </c>
      <c r="V292">
        <v>63</v>
      </c>
      <c r="W292">
        <f>AVERAGE(G292,I292,K292,M292,O292,Q292,S292,U292)</f>
        <v>22.875</v>
      </c>
      <c r="X292">
        <f>AVERAGE(H292,J292,L292,N292,P292,R292,T292,V292)</f>
        <v>62.25</v>
      </c>
    </row>
    <row r="293" spans="3:24" x14ac:dyDescent="0.3">
      <c r="E293" s="7">
        <v>0.45833333333333331</v>
      </c>
      <c r="F293" t="s">
        <v>35</v>
      </c>
      <c r="G293">
        <v>25</v>
      </c>
      <c r="H293">
        <v>60</v>
      </c>
      <c r="I293">
        <v>23</v>
      </c>
      <c r="J293">
        <v>61</v>
      </c>
      <c r="K293">
        <v>24</v>
      </c>
      <c r="L293">
        <v>59</v>
      </c>
      <c r="M293">
        <v>26</v>
      </c>
      <c r="N293">
        <v>60</v>
      </c>
      <c r="O293">
        <v>24</v>
      </c>
      <c r="P293">
        <v>58</v>
      </c>
      <c r="Q293">
        <v>25</v>
      </c>
      <c r="R293">
        <v>59</v>
      </c>
      <c r="S293">
        <v>26</v>
      </c>
      <c r="T293">
        <v>58</v>
      </c>
      <c r="U293">
        <v>24</v>
      </c>
      <c r="V293">
        <v>60</v>
      </c>
      <c r="W293">
        <f t="shared" ref="W293:W319" si="10">AVERAGE(G293,I293,K293,M293,O293,Q293,S293,U293)</f>
        <v>24.625</v>
      </c>
      <c r="X293">
        <f t="shared" ref="X293:X319" si="11">AVERAGE(H293,J293,L293,N293,P293,R293,T293,V293)</f>
        <v>59.375</v>
      </c>
    </row>
    <row r="294" spans="3:24" x14ac:dyDescent="0.3">
      <c r="E294" s="7">
        <v>0.54166666666666663</v>
      </c>
      <c r="F294" t="s">
        <v>35</v>
      </c>
      <c r="G294">
        <v>28</v>
      </c>
      <c r="H294">
        <v>57</v>
      </c>
      <c r="I294">
        <v>26</v>
      </c>
      <c r="J294">
        <v>58</v>
      </c>
      <c r="K294">
        <v>27</v>
      </c>
      <c r="L294">
        <v>56</v>
      </c>
      <c r="M294">
        <v>26</v>
      </c>
      <c r="N294">
        <v>57</v>
      </c>
      <c r="O294">
        <v>25</v>
      </c>
      <c r="P294">
        <v>59</v>
      </c>
      <c r="Q294">
        <v>27</v>
      </c>
      <c r="R294">
        <v>56</v>
      </c>
      <c r="S294">
        <v>28</v>
      </c>
      <c r="T294">
        <v>55</v>
      </c>
      <c r="U294">
        <v>26</v>
      </c>
      <c r="V294">
        <v>57</v>
      </c>
      <c r="W294">
        <f t="shared" si="10"/>
        <v>26.625</v>
      </c>
      <c r="X294">
        <f t="shared" si="11"/>
        <v>56.875</v>
      </c>
    </row>
    <row r="295" spans="3:24" x14ac:dyDescent="0.3">
      <c r="E295" s="7">
        <v>0.625</v>
      </c>
      <c r="F295" t="s">
        <v>35</v>
      </c>
      <c r="G295">
        <v>29</v>
      </c>
      <c r="H295">
        <v>54</v>
      </c>
      <c r="I295">
        <v>28</v>
      </c>
      <c r="J295">
        <v>55</v>
      </c>
      <c r="K295">
        <v>30</v>
      </c>
      <c r="L295">
        <v>53</v>
      </c>
      <c r="M295">
        <v>27</v>
      </c>
      <c r="N295">
        <v>54</v>
      </c>
      <c r="O295">
        <v>28</v>
      </c>
      <c r="P295">
        <v>55</v>
      </c>
      <c r="Q295">
        <v>29</v>
      </c>
      <c r="R295">
        <v>53</v>
      </c>
      <c r="S295">
        <v>28</v>
      </c>
      <c r="T295">
        <v>54</v>
      </c>
      <c r="U295">
        <v>27</v>
      </c>
      <c r="V295">
        <v>55</v>
      </c>
      <c r="W295">
        <f t="shared" si="10"/>
        <v>28.25</v>
      </c>
      <c r="X295">
        <f t="shared" si="11"/>
        <v>54.125</v>
      </c>
    </row>
    <row r="296" spans="3:24" x14ac:dyDescent="0.3">
      <c r="C296">
        <v>2</v>
      </c>
      <c r="D296" s="6">
        <v>44950</v>
      </c>
      <c r="E296" s="7">
        <v>0.375</v>
      </c>
      <c r="F296" t="s">
        <v>35</v>
      </c>
      <c r="G296">
        <v>22</v>
      </c>
      <c r="H296">
        <v>63</v>
      </c>
      <c r="I296">
        <v>21</v>
      </c>
      <c r="J296">
        <v>65</v>
      </c>
      <c r="K296">
        <v>23</v>
      </c>
      <c r="L296">
        <v>62</v>
      </c>
      <c r="M296">
        <v>22</v>
      </c>
      <c r="N296">
        <v>64</v>
      </c>
      <c r="O296">
        <v>24</v>
      </c>
      <c r="P296">
        <v>63</v>
      </c>
      <c r="Q296">
        <v>23</v>
      </c>
      <c r="R296">
        <v>62</v>
      </c>
      <c r="S296">
        <v>22</v>
      </c>
      <c r="T296">
        <v>63</v>
      </c>
      <c r="U296">
        <v>23</v>
      </c>
      <c r="V296">
        <v>62</v>
      </c>
      <c r="W296">
        <f t="shared" si="10"/>
        <v>22.5</v>
      </c>
      <c r="X296">
        <f t="shared" si="11"/>
        <v>63</v>
      </c>
    </row>
    <row r="297" spans="3:24" x14ac:dyDescent="0.3">
      <c r="E297" s="7">
        <v>0.45833333333333331</v>
      </c>
      <c r="F297" t="s">
        <v>35</v>
      </c>
      <c r="G297">
        <v>24</v>
      </c>
      <c r="H297">
        <v>61</v>
      </c>
      <c r="I297">
        <v>26</v>
      </c>
      <c r="J297">
        <v>60</v>
      </c>
      <c r="K297">
        <v>25</v>
      </c>
      <c r="L297">
        <v>59</v>
      </c>
      <c r="M297">
        <v>23</v>
      </c>
      <c r="N297">
        <v>61</v>
      </c>
      <c r="O297">
        <v>24</v>
      </c>
      <c r="P297">
        <v>60</v>
      </c>
      <c r="Q297">
        <v>25</v>
      </c>
      <c r="R297">
        <v>59</v>
      </c>
      <c r="S297">
        <v>26</v>
      </c>
      <c r="T297">
        <v>58</v>
      </c>
      <c r="U297">
        <v>24</v>
      </c>
      <c r="V297">
        <v>60</v>
      </c>
      <c r="W297">
        <f t="shared" si="10"/>
        <v>24.625</v>
      </c>
      <c r="X297">
        <f t="shared" si="11"/>
        <v>59.75</v>
      </c>
    </row>
    <row r="298" spans="3:24" x14ac:dyDescent="0.3">
      <c r="E298" s="7">
        <v>0.54166666666666663</v>
      </c>
      <c r="F298" t="s">
        <v>35</v>
      </c>
      <c r="G298">
        <v>27</v>
      </c>
      <c r="H298">
        <v>58</v>
      </c>
      <c r="I298">
        <v>26</v>
      </c>
      <c r="J298">
        <v>57</v>
      </c>
      <c r="K298">
        <v>28</v>
      </c>
      <c r="L298">
        <v>59</v>
      </c>
      <c r="M298">
        <v>25</v>
      </c>
      <c r="N298">
        <v>56</v>
      </c>
      <c r="O298">
        <v>27</v>
      </c>
      <c r="P298">
        <v>57</v>
      </c>
      <c r="Q298">
        <v>26</v>
      </c>
      <c r="R298">
        <v>56</v>
      </c>
      <c r="S298">
        <v>27</v>
      </c>
      <c r="T298">
        <v>55</v>
      </c>
      <c r="U298">
        <v>26</v>
      </c>
      <c r="V298">
        <v>57</v>
      </c>
      <c r="W298">
        <f t="shared" si="10"/>
        <v>26.5</v>
      </c>
      <c r="X298">
        <f t="shared" si="11"/>
        <v>56.875</v>
      </c>
    </row>
    <row r="299" spans="3:24" x14ac:dyDescent="0.3">
      <c r="E299" s="7">
        <v>0.625</v>
      </c>
      <c r="F299" t="s">
        <v>35</v>
      </c>
      <c r="G299">
        <v>28</v>
      </c>
      <c r="H299">
        <v>54</v>
      </c>
      <c r="I299">
        <v>29</v>
      </c>
      <c r="J299">
        <v>55</v>
      </c>
      <c r="K299">
        <v>27</v>
      </c>
      <c r="L299">
        <v>53</v>
      </c>
      <c r="M299">
        <v>28</v>
      </c>
      <c r="N299">
        <v>54</v>
      </c>
      <c r="O299">
        <v>26</v>
      </c>
      <c r="P299">
        <v>55</v>
      </c>
      <c r="Q299">
        <v>27</v>
      </c>
      <c r="R299">
        <v>54</v>
      </c>
      <c r="S299">
        <v>28</v>
      </c>
      <c r="T299">
        <v>53</v>
      </c>
      <c r="U299">
        <v>27</v>
      </c>
      <c r="V299">
        <v>54</v>
      </c>
      <c r="W299">
        <f t="shared" si="10"/>
        <v>27.5</v>
      </c>
      <c r="X299">
        <f t="shared" si="11"/>
        <v>54</v>
      </c>
    </row>
    <row r="300" spans="3:24" x14ac:dyDescent="0.3">
      <c r="C300">
        <v>3</v>
      </c>
      <c r="D300" s="6">
        <v>44951</v>
      </c>
      <c r="E300" s="7">
        <v>0.375</v>
      </c>
      <c r="F300" t="s">
        <v>35</v>
      </c>
      <c r="G300">
        <v>23</v>
      </c>
      <c r="H300">
        <v>63</v>
      </c>
      <c r="I300">
        <v>24</v>
      </c>
      <c r="J300">
        <v>62</v>
      </c>
      <c r="K300">
        <v>22</v>
      </c>
      <c r="L300">
        <v>64</v>
      </c>
      <c r="M300">
        <v>21</v>
      </c>
      <c r="N300">
        <v>65</v>
      </c>
      <c r="O300">
        <v>23</v>
      </c>
      <c r="P300">
        <v>63</v>
      </c>
      <c r="Q300">
        <v>22</v>
      </c>
      <c r="R300">
        <v>63</v>
      </c>
      <c r="S300">
        <v>23</v>
      </c>
      <c r="T300">
        <v>62</v>
      </c>
      <c r="U300">
        <v>22</v>
      </c>
      <c r="V300">
        <v>64</v>
      </c>
      <c r="W300">
        <f t="shared" si="10"/>
        <v>22.5</v>
      </c>
      <c r="X300">
        <f t="shared" si="11"/>
        <v>63.25</v>
      </c>
    </row>
    <row r="301" spans="3:24" x14ac:dyDescent="0.3">
      <c r="E301" s="7">
        <v>0.45833333333333331</v>
      </c>
      <c r="F301" t="s">
        <v>35</v>
      </c>
      <c r="G301">
        <v>26</v>
      </c>
      <c r="H301">
        <v>60</v>
      </c>
      <c r="I301">
        <v>25</v>
      </c>
      <c r="J301">
        <v>62</v>
      </c>
      <c r="K301">
        <v>24</v>
      </c>
      <c r="L301">
        <v>61</v>
      </c>
      <c r="M301">
        <v>23</v>
      </c>
      <c r="N301">
        <v>59</v>
      </c>
      <c r="O301">
        <v>24</v>
      </c>
      <c r="P301">
        <v>60</v>
      </c>
      <c r="Q301">
        <v>25</v>
      </c>
      <c r="R301">
        <v>61</v>
      </c>
      <c r="S301">
        <v>24</v>
      </c>
      <c r="T301">
        <v>60</v>
      </c>
      <c r="U301">
        <v>25</v>
      </c>
      <c r="V301">
        <v>59</v>
      </c>
      <c r="W301">
        <f t="shared" si="10"/>
        <v>24.5</v>
      </c>
      <c r="X301">
        <f t="shared" si="11"/>
        <v>60.25</v>
      </c>
    </row>
    <row r="302" spans="3:24" x14ac:dyDescent="0.3">
      <c r="E302" s="7">
        <v>0.54166666666666663</v>
      </c>
      <c r="F302" t="s">
        <v>35</v>
      </c>
      <c r="G302">
        <v>27</v>
      </c>
      <c r="H302">
        <v>57</v>
      </c>
      <c r="I302">
        <v>28</v>
      </c>
      <c r="J302">
        <v>58</v>
      </c>
      <c r="K302">
        <v>26</v>
      </c>
      <c r="L302">
        <v>56</v>
      </c>
      <c r="M302">
        <v>27</v>
      </c>
      <c r="N302">
        <v>59</v>
      </c>
      <c r="O302">
        <v>25</v>
      </c>
      <c r="P302">
        <v>57</v>
      </c>
      <c r="Q302">
        <v>26</v>
      </c>
      <c r="R302">
        <v>58</v>
      </c>
      <c r="S302">
        <v>27</v>
      </c>
      <c r="T302">
        <v>57</v>
      </c>
      <c r="U302">
        <v>26</v>
      </c>
      <c r="V302">
        <v>56</v>
      </c>
      <c r="W302">
        <f t="shared" si="10"/>
        <v>26.5</v>
      </c>
      <c r="X302">
        <f t="shared" si="11"/>
        <v>57.25</v>
      </c>
    </row>
    <row r="303" spans="3:24" x14ac:dyDescent="0.3">
      <c r="E303" s="7">
        <v>0.625</v>
      </c>
      <c r="F303" t="s">
        <v>35</v>
      </c>
      <c r="G303">
        <v>30</v>
      </c>
      <c r="H303">
        <v>54</v>
      </c>
      <c r="I303">
        <v>29</v>
      </c>
      <c r="J303">
        <v>55</v>
      </c>
      <c r="K303">
        <v>28</v>
      </c>
      <c r="L303">
        <v>53</v>
      </c>
      <c r="M303">
        <v>27</v>
      </c>
      <c r="N303">
        <v>54</v>
      </c>
      <c r="O303">
        <v>29</v>
      </c>
      <c r="P303">
        <v>56</v>
      </c>
      <c r="Q303">
        <v>28</v>
      </c>
      <c r="R303">
        <v>55</v>
      </c>
      <c r="S303">
        <v>29</v>
      </c>
      <c r="T303">
        <v>54</v>
      </c>
      <c r="U303">
        <v>28</v>
      </c>
      <c r="V303">
        <v>55</v>
      </c>
      <c r="W303">
        <f t="shared" si="10"/>
        <v>28.5</v>
      </c>
      <c r="X303">
        <f t="shared" si="11"/>
        <v>54.5</v>
      </c>
    </row>
    <row r="304" spans="3:24" x14ac:dyDescent="0.3">
      <c r="C304">
        <v>4</v>
      </c>
      <c r="D304" s="6">
        <v>44952</v>
      </c>
      <c r="E304" s="7">
        <v>0.375</v>
      </c>
      <c r="F304" t="s">
        <v>35</v>
      </c>
      <c r="G304">
        <v>21</v>
      </c>
      <c r="H304">
        <v>64</v>
      </c>
      <c r="I304">
        <v>23</v>
      </c>
      <c r="J304">
        <v>63</v>
      </c>
      <c r="K304">
        <v>22</v>
      </c>
      <c r="L304">
        <v>65</v>
      </c>
      <c r="M304">
        <v>24</v>
      </c>
      <c r="N304">
        <v>62</v>
      </c>
      <c r="O304">
        <v>22</v>
      </c>
      <c r="P304">
        <v>63</v>
      </c>
      <c r="Q304">
        <v>23</v>
      </c>
      <c r="R304">
        <v>62</v>
      </c>
      <c r="S304">
        <v>22</v>
      </c>
      <c r="T304">
        <v>64</v>
      </c>
      <c r="U304">
        <v>23</v>
      </c>
      <c r="V304">
        <v>63</v>
      </c>
      <c r="W304">
        <f t="shared" si="10"/>
        <v>22.5</v>
      </c>
      <c r="X304">
        <f t="shared" si="11"/>
        <v>63.25</v>
      </c>
    </row>
    <row r="305" spans="3:24" x14ac:dyDescent="0.3">
      <c r="E305" s="7">
        <v>0.45833333333333331</v>
      </c>
      <c r="F305" t="s">
        <v>35</v>
      </c>
      <c r="G305">
        <v>24</v>
      </c>
      <c r="H305">
        <v>60</v>
      </c>
      <c r="I305">
        <v>25</v>
      </c>
      <c r="J305">
        <v>61</v>
      </c>
      <c r="K305">
        <v>26</v>
      </c>
      <c r="L305">
        <v>59</v>
      </c>
      <c r="M305">
        <v>23</v>
      </c>
      <c r="N305">
        <v>60</v>
      </c>
      <c r="O305">
        <v>24</v>
      </c>
      <c r="P305">
        <v>61</v>
      </c>
      <c r="Q305">
        <v>25</v>
      </c>
      <c r="R305">
        <v>60</v>
      </c>
      <c r="S305">
        <v>24</v>
      </c>
      <c r="T305">
        <v>61</v>
      </c>
      <c r="U305">
        <v>25</v>
      </c>
      <c r="V305">
        <v>60</v>
      </c>
      <c r="W305">
        <f t="shared" si="10"/>
        <v>24.5</v>
      </c>
      <c r="X305">
        <f t="shared" si="11"/>
        <v>60.25</v>
      </c>
    </row>
    <row r="306" spans="3:24" x14ac:dyDescent="0.3">
      <c r="E306" s="7">
        <v>0.54166666666666663</v>
      </c>
      <c r="F306" t="s">
        <v>35</v>
      </c>
      <c r="G306">
        <v>28</v>
      </c>
      <c r="H306">
        <v>56</v>
      </c>
      <c r="I306">
        <v>27</v>
      </c>
      <c r="J306">
        <v>57</v>
      </c>
      <c r="K306">
        <v>26</v>
      </c>
      <c r="L306">
        <v>58</v>
      </c>
      <c r="M306">
        <v>25</v>
      </c>
      <c r="N306">
        <v>59</v>
      </c>
      <c r="O306">
        <v>27</v>
      </c>
      <c r="P306">
        <v>57</v>
      </c>
      <c r="Q306">
        <v>26</v>
      </c>
      <c r="R306">
        <v>58</v>
      </c>
      <c r="S306">
        <v>27</v>
      </c>
      <c r="T306">
        <v>57</v>
      </c>
      <c r="U306">
        <v>26</v>
      </c>
      <c r="V306">
        <v>58</v>
      </c>
      <c r="W306">
        <f t="shared" si="10"/>
        <v>26.5</v>
      </c>
      <c r="X306">
        <f t="shared" si="11"/>
        <v>57.5</v>
      </c>
    </row>
    <row r="307" spans="3:24" x14ac:dyDescent="0.3">
      <c r="E307" s="7">
        <v>0.625</v>
      </c>
      <c r="F307" t="s">
        <v>35</v>
      </c>
      <c r="G307">
        <v>29</v>
      </c>
      <c r="H307">
        <v>55</v>
      </c>
      <c r="I307">
        <v>28</v>
      </c>
      <c r="J307">
        <v>54</v>
      </c>
      <c r="K307">
        <v>30</v>
      </c>
      <c r="L307">
        <v>56</v>
      </c>
      <c r="M307">
        <v>27</v>
      </c>
      <c r="N307">
        <v>53</v>
      </c>
      <c r="O307">
        <v>28</v>
      </c>
      <c r="P307">
        <v>55</v>
      </c>
      <c r="Q307">
        <v>29</v>
      </c>
      <c r="R307">
        <v>54</v>
      </c>
      <c r="S307">
        <v>28</v>
      </c>
      <c r="T307">
        <v>55</v>
      </c>
      <c r="U307">
        <v>27</v>
      </c>
      <c r="V307">
        <v>54</v>
      </c>
      <c r="W307">
        <f t="shared" si="10"/>
        <v>28.25</v>
      </c>
      <c r="X307">
        <f t="shared" si="11"/>
        <v>54.5</v>
      </c>
    </row>
    <row r="308" spans="3:24" x14ac:dyDescent="0.3">
      <c r="C308">
        <v>5</v>
      </c>
      <c r="D308" s="6">
        <v>44953</v>
      </c>
      <c r="E308" s="7">
        <v>0.375</v>
      </c>
      <c r="F308" t="s">
        <v>35</v>
      </c>
      <c r="G308">
        <v>23</v>
      </c>
      <c r="H308">
        <v>62</v>
      </c>
      <c r="I308">
        <v>22</v>
      </c>
      <c r="J308">
        <v>64</v>
      </c>
      <c r="K308">
        <v>21</v>
      </c>
      <c r="L308">
        <v>63</v>
      </c>
      <c r="M308">
        <v>24</v>
      </c>
      <c r="N308">
        <v>65</v>
      </c>
      <c r="O308">
        <v>22</v>
      </c>
      <c r="P308">
        <v>63</v>
      </c>
      <c r="Q308">
        <v>23</v>
      </c>
      <c r="R308">
        <v>63</v>
      </c>
      <c r="S308">
        <v>22</v>
      </c>
      <c r="T308">
        <v>64</v>
      </c>
      <c r="U308">
        <v>23</v>
      </c>
      <c r="V308">
        <v>63</v>
      </c>
      <c r="W308">
        <f t="shared" si="10"/>
        <v>22.5</v>
      </c>
      <c r="X308">
        <f t="shared" si="11"/>
        <v>63.375</v>
      </c>
    </row>
    <row r="309" spans="3:24" x14ac:dyDescent="0.3">
      <c r="E309" s="7">
        <v>0.45833333333333331</v>
      </c>
      <c r="F309" t="s">
        <v>35</v>
      </c>
      <c r="G309">
        <v>25</v>
      </c>
      <c r="H309">
        <v>60</v>
      </c>
      <c r="I309">
        <v>24</v>
      </c>
      <c r="J309">
        <v>61</v>
      </c>
      <c r="K309">
        <v>26</v>
      </c>
      <c r="L309">
        <v>59</v>
      </c>
      <c r="M309">
        <v>23</v>
      </c>
      <c r="N309">
        <v>60</v>
      </c>
      <c r="O309">
        <v>24</v>
      </c>
      <c r="P309">
        <v>62</v>
      </c>
      <c r="Q309">
        <v>25</v>
      </c>
      <c r="R309">
        <v>60</v>
      </c>
      <c r="S309">
        <v>24</v>
      </c>
      <c r="T309">
        <v>61</v>
      </c>
      <c r="U309">
        <v>25</v>
      </c>
      <c r="V309">
        <v>60</v>
      </c>
      <c r="W309">
        <f t="shared" si="10"/>
        <v>24.5</v>
      </c>
      <c r="X309">
        <f t="shared" si="11"/>
        <v>60.375</v>
      </c>
    </row>
    <row r="310" spans="3:24" x14ac:dyDescent="0.3">
      <c r="E310" s="7">
        <v>0.54166666666666663</v>
      </c>
      <c r="F310" t="s">
        <v>35</v>
      </c>
      <c r="G310">
        <v>27</v>
      </c>
      <c r="H310">
        <v>58</v>
      </c>
      <c r="I310">
        <v>26</v>
      </c>
      <c r="J310">
        <v>57</v>
      </c>
      <c r="K310">
        <v>28</v>
      </c>
      <c r="L310">
        <v>56</v>
      </c>
      <c r="M310">
        <v>25</v>
      </c>
      <c r="N310">
        <v>59</v>
      </c>
      <c r="O310">
        <v>27</v>
      </c>
      <c r="P310">
        <v>57</v>
      </c>
      <c r="Q310">
        <v>26</v>
      </c>
      <c r="R310">
        <v>58</v>
      </c>
      <c r="S310">
        <v>27</v>
      </c>
      <c r="T310">
        <v>57</v>
      </c>
      <c r="U310">
        <v>26</v>
      </c>
      <c r="V310">
        <v>58</v>
      </c>
      <c r="W310">
        <f t="shared" si="10"/>
        <v>26.5</v>
      </c>
      <c r="X310">
        <f t="shared" si="11"/>
        <v>57.5</v>
      </c>
    </row>
    <row r="311" spans="3:24" x14ac:dyDescent="0.3">
      <c r="E311" s="7">
        <v>0.625</v>
      </c>
      <c r="F311" t="s">
        <v>35</v>
      </c>
      <c r="G311">
        <v>28</v>
      </c>
      <c r="H311">
        <v>54</v>
      </c>
      <c r="I311">
        <v>29</v>
      </c>
      <c r="J311">
        <v>55</v>
      </c>
      <c r="K311">
        <v>27</v>
      </c>
      <c r="L311">
        <v>53</v>
      </c>
      <c r="M311">
        <v>30</v>
      </c>
      <c r="N311">
        <v>56</v>
      </c>
      <c r="O311">
        <v>28</v>
      </c>
      <c r="P311">
        <v>54</v>
      </c>
      <c r="Q311">
        <v>29</v>
      </c>
      <c r="R311">
        <v>55</v>
      </c>
      <c r="S311">
        <v>28</v>
      </c>
      <c r="T311">
        <v>54</v>
      </c>
      <c r="U311">
        <v>27</v>
      </c>
      <c r="V311">
        <v>55</v>
      </c>
      <c r="W311">
        <f t="shared" si="10"/>
        <v>28.25</v>
      </c>
      <c r="X311">
        <f t="shared" si="11"/>
        <v>54.5</v>
      </c>
    </row>
    <row r="312" spans="3:24" x14ac:dyDescent="0.3">
      <c r="C312">
        <v>6</v>
      </c>
      <c r="D312" s="6">
        <v>44954</v>
      </c>
      <c r="E312" s="7">
        <v>0.375</v>
      </c>
      <c r="F312" t="s">
        <v>35</v>
      </c>
      <c r="G312">
        <v>22</v>
      </c>
      <c r="H312">
        <v>63</v>
      </c>
      <c r="I312">
        <v>23</v>
      </c>
      <c r="J312">
        <v>62</v>
      </c>
      <c r="K312">
        <v>24</v>
      </c>
      <c r="L312">
        <v>64</v>
      </c>
      <c r="M312">
        <v>21</v>
      </c>
      <c r="N312">
        <v>65</v>
      </c>
      <c r="O312">
        <v>22</v>
      </c>
      <c r="P312">
        <v>63</v>
      </c>
      <c r="Q312">
        <v>23</v>
      </c>
      <c r="R312">
        <v>62</v>
      </c>
      <c r="S312">
        <v>22</v>
      </c>
      <c r="T312">
        <v>64</v>
      </c>
      <c r="U312">
        <v>23</v>
      </c>
      <c r="V312">
        <v>63</v>
      </c>
      <c r="W312">
        <f t="shared" si="10"/>
        <v>22.5</v>
      </c>
      <c r="X312">
        <f t="shared" si="11"/>
        <v>63.25</v>
      </c>
    </row>
    <row r="313" spans="3:24" x14ac:dyDescent="0.3">
      <c r="E313" s="7">
        <v>0.45833333333333331</v>
      </c>
      <c r="F313" t="s">
        <v>35</v>
      </c>
      <c r="G313">
        <v>26</v>
      </c>
      <c r="H313">
        <v>60</v>
      </c>
      <c r="I313">
        <v>24</v>
      </c>
      <c r="J313">
        <v>61</v>
      </c>
      <c r="K313">
        <v>25</v>
      </c>
      <c r="L313">
        <v>59</v>
      </c>
      <c r="M313">
        <v>23</v>
      </c>
      <c r="N313">
        <v>62</v>
      </c>
      <c r="O313">
        <v>24</v>
      </c>
      <c r="P313">
        <v>60</v>
      </c>
      <c r="Q313">
        <v>25</v>
      </c>
      <c r="R313">
        <v>60</v>
      </c>
      <c r="S313">
        <v>24</v>
      </c>
      <c r="T313">
        <v>61</v>
      </c>
      <c r="U313">
        <v>25</v>
      </c>
      <c r="V313">
        <v>60</v>
      </c>
      <c r="W313">
        <f t="shared" si="10"/>
        <v>24.5</v>
      </c>
      <c r="X313">
        <f t="shared" si="11"/>
        <v>60.375</v>
      </c>
    </row>
    <row r="314" spans="3:24" x14ac:dyDescent="0.3">
      <c r="E314" s="7">
        <v>0.54166666666666663</v>
      </c>
      <c r="F314" t="s">
        <v>35</v>
      </c>
      <c r="G314">
        <v>27</v>
      </c>
      <c r="H314">
        <v>57</v>
      </c>
      <c r="I314">
        <v>28</v>
      </c>
      <c r="J314">
        <v>58</v>
      </c>
      <c r="K314">
        <v>26</v>
      </c>
      <c r="L314">
        <v>59</v>
      </c>
      <c r="M314">
        <v>27</v>
      </c>
      <c r="N314">
        <v>56</v>
      </c>
      <c r="O314">
        <v>25</v>
      </c>
      <c r="P314">
        <v>57</v>
      </c>
      <c r="Q314">
        <v>26</v>
      </c>
      <c r="R314">
        <v>58</v>
      </c>
      <c r="S314">
        <v>27</v>
      </c>
      <c r="T314">
        <v>57</v>
      </c>
      <c r="U314">
        <v>26</v>
      </c>
      <c r="V314">
        <v>58</v>
      </c>
      <c r="W314">
        <f t="shared" si="10"/>
        <v>26.5</v>
      </c>
      <c r="X314">
        <f t="shared" si="11"/>
        <v>57.5</v>
      </c>
    </row>
    <row r="315" spans="3:24" x14ac:dyDescent="0.3">
      <c r="E315" s="7">
        <v>0.625</v>
      </c>
      <c r="F315" t="s">
        <v>35</v>
      </c>
      <c r="G315">
        <v>29</v>
      </c>
      <c r="H315">
        <v>55</v>
      </c>
      <c r="I315">
        <v>28</v>
      </c>
      <c r="J315">
        <v>54</v>
      </c>
      <c r="K315">
        <v>27</v>
      </c>
      <c r="L315">
        <v>56</v>
      </c>
      <c r="M315">
        <v>30</v>
      </c>
      <c r="N315">
        <v>53</v>
      </c>
      <c r="O315">
        <v>28</v>
      </c>
      <c r="P315">
        <v>55</v>
      </c>
      <c r="Q315">
        <v>29</v>
      </c>
      <c r="R315">
        <v>54</v>
      </c>
      <c r="S315">
        <v>28</v>
      </c>
      <c r="T315">
        <v>55</v>
      </c>
      <c r="U315">
        <v>27</v>
      </c>
      <c r="V315">
        <v>54</v>
      </c>
      <c r="W315">
        <f t="shared" si="10"/>
        <v>28.25</v>
      </c>
      <c r="X315">
        <f t="shared" si="11"/>
        <v>54.5</v>
      </c>
    </row>
    <row r="316" spans="3:24" x14ac:dyDescent="0.3">
      <c r="C316">
        <v>7</v>
      </c>
      <c r="D316" s="6">
        <v>44955</v>
      </c>
      <c r="E316" s="7">
        <v>0.375</v>
      </c>
      <c r="F316" t="s">
        <v>35</v>
      </c>
      <c r="G316">
        <v>23</v>
      </c>
      <c r="H316">
        <v>63</v>
      </c>
      <c r="I316">
        <v>22</v>
      </c>
      <c r="J316">
        <v>65</v>
      </c>
      <c r="K316">
        <v>21</v>
      </c>
      <c r="L316">
        <v>64</v>
      </c>
      <c r="M316">
        <v>24</v>
      </c>
      <c r="N316">
        <v>62</v>
      </c>
      <c r="O316">
        <v>23</v>
      </c>
      <c r="P316">
        <v>63</v>
      </c>
      <c r="Q316">
        <v>22</v>
      </c>
      <c r="R316">
        <v>63</v>
      </c>
      <c r="S316">
        <v>23</v>
      </c>
      <c r="T316">
        <v>62</v>
      </c>
      <c r="U316">
        <v>22</v>
      </c>
      <c r="V316">
        <v>64</v>
      </c>
      <c r="W316">
        <f t="shared" si="10"/>
        <v>22.5</v>
      </c>
      <c r="X316">
        <f t="shared" si="11"/>
        <v>63.25</v>
      </c>
    </row>
    <row r="317" spans="3:24" x14ac:dyDescent="0.3">
      <c r="E317" s="7">
        <v>0.45833333333333331</v>
      </c>
      <c r="F317" t="s">
        <v>35</v>
      </c>
      <c r="G317">
        <v>24</v>
      </c>
      <c r="H317">
        <v>61</v>
      </c>
      <c r="I317">
        <v>25</v>
      </c>
      <c r="J317">
        <v>60</v>
      </c>
      <c r="K317">
        <v>23</v>
      </c>
      <c r="L317">
        <v>62</v>
      </c>
      <c r="M317">
        <v>26</v>
      </c>
      <c r="N317">
        <v>61</v>
      </c>
      <c r="O317">
        <v>24</v>
      </c>
      <c r="P317">
        <v>60</v>
      </c>
      <c r="Q317">
        <v>25</v>
      </c>
      <c r="R317">
        <v>61</v>
      </c>
      <c r="S317">
        <v>24</v>
      </c>
      <c r="T317">
        <v>60</v>
      </c>
      <c r="U317">
        <v>25</v>
      </c>
      <c r="V317">
        <v>61</v>
      </c>
      <c r="W317">
        <f t="shared" si="10"/>
        <v>24.5</v>
      </c>
      <c r="X317">
        <f t="shared" si="11"/>
        <v>60.75</v>
      </c>
    </row>
    <row r="318" spans="3:24" x14ac:dyDescent="0.3">
      <c r="E318" s="7">
        <v>0.54166666666666663</v>
      </c>
      <c r="F318" t="s">
        <v>35</v>
      </c>
      <c r="G318">
        <v>28</v>
      </c>
      <c r="H318">
        <v>57</v>
      </c>
      <c r="I318">
        <v>26</v>
      </c>
      <c r="J318">
        <v>58</v>
      </c>
      <c r="K318">
        <v>27</v>
      </c>
      <c r="L318">
        <v>59</v>
      </c>
      <c r="M318">
        <v>25</v>
      </c>
      <c r="N318">
        <v>56</v>
      </c>
      <c r="O318">
        <v>27</v>
      </c>
      <c r="P318">
        <v>57</v>
      </c>
      <c r="Q318">
        <v>26</v>
      </c>
      <c r="R318">
        <v>58</v>
      </c>
      <c r="S318">
        <v>27</v>
      </c>
      <c r="T318">
        <v>57</v>
      </c>
      <c r="U318">
        <v>26</v>
      </c>
      <c r="V318">
        <v>58</v>
      </c>
      <c r="W318">
        <f t="shared" si="10"/>
        <v>26.5</v>
      </c>
      <c r="X318">
        <f t="shared" si="11"/>
        <v>57.5</v>
      </c>
    </row>
    <row r="319" spans="3:24" x14ac:dyDescent="0.3">
      <c r="E319" s="7">
        <v>0.625</v>
      </c>
      <c r="F319" t="s">
        <v>35</v>
      </c>
      <c r="G319">
        <v>30</v>
      </c>
      <c r="H319">
        <v>54</v>
      </c>
      <c r="I319">
        <v>28</v>
      </c>
      <c r="J319">
        <v>55</v>
      </c>
      <c r="K319">
        <v>29</v>
      </c>
      <c r="L319">
        <v>53</v>
      </c>
      <c r="M319">
        <v>27</v>
      </c>
      <c r="N319">
        <v>56</v>
      </c>
      <c r="O319">
        <v>28</v>
      </c>
      <c r="P319">
        <v>54</v>
      </c>
      <c r="Q319">
        <v>29</v>
      </c>
      <c r="R319">
        <v>55</v>
      </c>
      <c r="S319">
        <v>28</v>
      </c>
      <c r="T319">
        <v>54</v>
      </c>
      <c r="U319">
        <v>27</v>
      </c>
      <c r="V319">
        <v>55</v>
      </c>
      <c r="W319">
        <f t="shared" si="10"/>
        <v>28.25</v>
      </c>
      <c r="X319">
        <f t="shared" si="11"/>
        <v>54.5</v>
      </c>
    </row>
    <row r="320" spans="3:24" x14ac:dyDescent="0.3">
      <c r="W320">
        <f>AVERAGE(W292:W319)</f>
        <v>25.446428571428573</v>
      </c>
      <c r="X320">
        <f>AVERAGE(X292:X319)</f>
        <v>58.727678571428569</v>
      </c>
    </row>
    <row r="321" spans="3:25" x14ac:dyDescent="0.3">
      <c r="C321" t="s">
        <v>10</v>
      </c>
      <c r="Y321">
        <v>58.95</v>
      </c>
    </row>
    <row r="322" spans="3:25" x14ac:dyDescent="0.3">
      <c r="C322" t="s">
        <v>11</v>
      </c>
      <c r="G322">
        <f>MIN(G292:G319)</f>
        <v>21</v>
      </c>
      <c r="H322">
        <f t="shared" ref="H322:V322" si="12">MIN(H292:H319)</f>
        <v>54</v>
      </c>
      <c r="I322">
        <f t="shared" si="12"/>
        <v>21</v>
      </c>
      <c r="J322">
        <f t="shared" si="12"/>
        <v>54</v>
      </c>
      <c r="K322">
        <f t="shared" si="12"/>
        <v>21</v>
      </c>
      <c r="L322">
        <f t="shared" si="12"/>
        <v>53</v>
      </c>
      <c r="M322">
        <f t="shared" si="12"/>
        <v>21</v>
      </c>
      <c r="N322">
        <f t="shared" si="12"/>
        <v>53</v>
      </c>
      <c r="O322">
        <f t="shared" si="12"/>
        <v>22</v>
      </c>
      <c r="P322">
        <f t="shared" si="12"/>
        <v>54</v>
      </c>
      <c r="Q322">
        <f t="shared" si="12"/>
        <v>22</v>
      </c>
      <c r="R322">
        <f t="shared" si="12"/>
        <v>53</v>
      </c>
      <c r="S322">
        <f t="shared" si="12"/>
        <v>22</v>
      </c>
      <c r="T322">
        <f t="shared" si="12"/>
        <v>53</v>
      </c>
      <c r="U322">
        <f t="shared" si="12"/>
        <v>22</v>
      </c>
      <c r="V322">
        <f t="shared" si="12"/>
        <v>54</v>
      </c>
    </row>
    <row r="323" spans="3:25" x14ac:dyDescent="0.3">
      <c r="C323" t="s">
        <v>12</v>
      </c>
      <c r="G323">
        <f>MAX(G292:G319)</f>
        <v>30</v>
      </c>
      <c r="H323">
        <f t="shared" ref="H323:V323" si="13">MAX(H292:H319)</f>
        <v>64</v>
      </c>
      <c r="I323">
        <f t="shared" si="13"/>
        <v>29</v>
      </c>
      <c r="J323">
        <f t="shared" si="13"/>
        <v>65</v>
      </c>
      <c r="K323">
        <f t="shared" si="13"/>
        <v>30</v>
      </c>
      <c r="L323">
        <f t="shared" si="13"/>
        <v>65</v>
      </c>
      <c r="M323">
        <f t="shared" si="13"/>
        <v>30</v>
      </c>
      <c r="N323">
        <f t="shared" si="13"/>
        <v>65</v>
      </c>
      <c r="O323">
        <f t="shared" si="13"/>
        <v>29</v>
      </c>
      <c r="P323">
        <f t="shared" si="13"/>
        <v>63</v>
      </c>
      <c r="Q323">
        <f t="shared" si="13"/>
        <v>29</v>
      </c>
      <c r="R323">
        <f t="shared" si="13"/>
        <v>63</v>
      </c>
      <c r="S323">
        <f t="shared" si="13"/>
        <v>29</v>
      </c>
      <c r="T323">
        <f t="shared" si="13"/>
        <v>64</v>
      </c>
      <c r="U323">
        <f t="shared" si="13"/>
        <v>28</v>
      </c>
      <c r="V323">
        <f t="shared" si="13"/>
        <v>64</v>
      </c>
    </row>
    <row r="327" spans="3:25" x14ac:dyDescent="0.3">
      <c r="C327" t="s">
        <v>0</v>
      </c>
      <c r="D327" t="s">
        <v>1</v>
      </c>
      <c r="E327" t="s">
        <v>2</v>
      </c>
      <c r="F327" t="s">
        <v>13</v>
      </c>
      <c r="G327" t="s">
        <v>14</v>
      </c>
      <c r="H327" t="s">
        <v>15</v>
      </c>
      <c r="I327" t="s">
        <v>16</v>
      </c>
      <c r="J327" t="s">
        <v>17</v>
      </c>
      <c r="K327" t="s">
        <v>18</v>
      </c>
      <c r="L327" t="s">
        <v>19</v>
      </c>
      <c r="M327" t="s">
        <v>20</v>
      </c>
      <c r="N327" t="s">
        <v>21</v>
      </c>
      <c r="O327" t="s">
        <v>22</v>
      </c>
      <c r="P327" t="s">
        <v>23</v>
      </c>
      <c r="Q327" t="s">
        <v>24</v>
      </c>
      <c r="R327" t="s">
        <v>25</v>
      </c>
    </row>
    <row r="328" spans="3:25" x14ac:dyDescent="0.3">
      <c r="C328" t="s">
        <v>3</v>
      </c>
      <c r="D328" t="s">
        <v>4</v>
      </c>
      <c r="E328" t="s">
        <v>5</v>
      </c>
    </row>
    <row r="329" spans="3:25" x14ac:dyDescent="0.3">
      <c r="G329">
        <v>1</v>
      </c>
      <c r="H329">
        <v>2</v>
      </c>
      <c r="I329">
        <v>3</v>
      </c>
      <c r="J329">
        <v>4</v>
      </c>
      <c r="K329">
        <v>5</v>
      </c>
    </row>
    <row r="330" spans="3:25" x14ac:dyDescent="0.3">
      <c r="G330" t="s">
        <v>6</v>
      </c>
      <c r="H330" t="s">
        <v>7</v>
      </c>
      <c r="I330" t="s">
        <v>6</v>
      </c>
      <c r="J330" t="s">
        <v>7</v>
      </c>
      <c r="K330" t="s">
        <v>6</v>
      </c>
      <c r="L330" t="s">
        <v>7</v>
      </c>
      <c r="M330" t="s">
        <v>6</v>
      </c>
      <c r="N330" t="s">
        <v>7</v>
      </c>
      <c r="O330" t="s">
        <v>6</v>
      </c>
      <c r="P330" t="s">
        <v>7</v>
      </c>
      <c r="Q330" t="s">
        <v>6</v>
      </c>
      <c r="R330" t="s">
        <v>7</v>
      </c>
    </row>
    <row r="331" spans="3:25" x14ac:dyDescent="0.3">
      <c r="C331">
        <v>1</v>
      </c>
      <c r="D331" s="6">
        <v>44949</v>
      </c>
      <c r="E331" s="7">
        <v>0.375</v>
      </c>
      <c r="F331" t="s">
        <v>36</v>
      </c>
      <c r="G331">
        <v>23</v>
      </c>
      <c r="H331">
        <v>62</v>
      </c>
      <c r="I331">
        <v>22</v>
      </c>
      <c r="J331">
        <v>64</v>
      </c>
      <c r="K331">
        <v>21</v>
      </c>
      <c r="L331">
        <v>63</v>
      </c>
      <c r="M331">
        <v>23</v>
      </c>
      <c r="N331">
        <v>62</v>
      </c>
      <c r="O331">
        <v>22</v>
      </c>
      <c r="P331">
        <v>63</v>
      </c>
      <c r="Q331">
        <f>AVERAGE(G331,I331,K331,M331,O331)</f>
        <v>22.2</v>
      </c>
      <c r="R331">
        <f>AVERAGE(H331,J331,L331,N331,P331)</f>
        <v>62.8</v>
      </c>
    </row>
    <row r="332" spans="3:25" x14ac:dyDescent="0.3">
      <c r="E332" s="7">
        <v>0.45833333333333331</v>
      </c>
      <c r="F332" t="s">
        <v>36</v>
      </c>
      <c r="G332">
        <v>25</v>
      </c>
      <c r="H332">
        <v>60</v>
      </c>
      <c r="I332">
        <v>24</v>
      </c>
      <c r="J332">
        <v>61</v>
      </c>
      <c r="K332">
        <v>23</v>
      </c>
      <c r="L332">
        <v>60</v>
      </c>
      <c r="M332">
        <v>24</v>
      </c>
      <c r="N332">
        <v>62</v>
      </c>
      <c r="O332">
        <v>23</v>
      </c>
      <c r="P332">
        <v>61</v>
      </c>
      <c r="Q332">
        <f t="shared" ref="Q332:Q358" si="14">AVERAGE(G332,I332,K332,M332,O332)</f>
        <v>23.8</v>
      </c>
      <c r="R332">
        <f t="shared" ref="R332:R358" si="15">AVERAGE(H332,J332,L332,N332,P332)</f>
        <v>60.8</v>
      </c>
    </row>
    <row r="333" spans="3:25" x14ac:dyDescent="0.3">
      <c r="E333" s="7">
        <v>0.54166666666666663</v>
      </c>
      <c r="F333" t="s">
        <v>36</v>
      </c>
      <c r="G333">
        <v>26</v>
      </c>
      <c r="H333">
        <v>57</v>
      </c>
      <c r="I333">
        <v>25</v>
      </c>
      <c r="J333">
        <v>58</v>
      </c>
      <c r="K333">
        <v>27</v>
      </c>
      <c r="L333">
        <v>59</v>
      </c>
      <c r="M333">
        <v>26</v>
      </c>
      <c r="N333">
        <v>57</v>
      </c>
      <c r="O333">
        <v>25</v>
      </c>
      <c r="P333">
        <v>58</v>
      </c>
      <c r="Q333">
        <f t="shared" si="14"/>
        <v>25.8</v>
      </c>
      <c r="R333">
        <f t="shared" si="15"/>
        <v>57.8</v>
      </c>
    </row>
    <row r="334" spans="3:25" x14ac:dyDescent="0.3">
      <c r="E334" s="7">
        <v>0.625</v>
      </c>
      <c r="F334" t="s">
        <v>36</v>
      </c>
      <c r="G334">
        <v>28</v>
      </c>
      <c r="H334">
        <v>54</v>
      </c>
      <c r="I334">
        <v>27</v>
      </c>
      <c r="J334">
        <v>55</v>
      </c>
      <c r="K334">
        <v>26</v>
      </c>
      <c r="L334">
        <v>56</v>
      </c>
      <c r="M334">
        <v>27</v>
      </c>
      <c r="N334">
        <v>54</v>
      </c>
      <c r="O334">
        <v>28</v>
      </c>
      <c r="P334">
        <v>53</v>
      </c>
      <c r="Q334">
        <f t="shared" si="14"/>
        <v>27.2</v>
      </c>
      <c r="R334">
        <f t="shared" si="15"/>
        <v>54.4</v>
      </c>
    </row>
    <row r="335" spans="3:25" x14ac:dyDescent="0.3">
      <c r="C335">
        <v>2</v>
      </c>
      <c r="D335" s="6">
        <v>44950</v>
      </c>
      <c r="E335" s="7">
        <v>0.375</v>
      </c>
      <c r="F335" t="s">
        <v>36</v>
      </c>
      <c r="G335">
        <v>22</v>
      </c>
      <c r="H335">
        <v>63</v>
      </c>
      <c r="I335">
        <v>23</v>
      </c>
      <c r="J335">
        <v>62</v>
      </c>
      <c r="K335">
        <v>22</v>
      </c>
      <c r="L335">
        <v>64</v>
      </c>
      <c r="M335">
        <v>21</v>
      </c>
      <c r="N335">
        <v>63</v>
      </c>
      <c r="O335">
        <v>23</v>
      </c>
      <c r="P335">
        <v>64</v>
      </c>
      <c r="Q335">
        <f t="shared" si="14"/>
        <v>22.2</v>
      </c>
      <c r="R335">
        <f t="shared" si="15"/>
        <v>63.2</v>
      </c>
    </row>
    <row r="336" spans="3:25" x14ac:dyDescent="0.3">
      <c r="E336" s="7">
        <v>0.45833333333333331</v>
      </c>
      <c r="F336" t="s">
        <v>36</v>
      </c>
      <c r="G336">
        <v>24</v>
      </c>
      <c r="H336">
        <v>61</v>
      </c>
      <c r="I336">
        <v>25</v>
      </c>
      <c r="J336">
        <v>60</v>
      </c>
      <c r="K336">
        <v>24</v>
      </c>
      <c r="L336">
        <v>62</v>
      </c>
      <c r="M336">
        <v>23</v>
      </c>
      <c r="N336">
        <v>61</v>
      </c>
      <c r="O336">
        <v>25</v>
      </c>
      <c r="P336">
        <v>60</v>
      </c>
      <c r="Q336">
        <f t="shared" si="14"/>
        <v>24.2</v>
      </c>
      <c r="R336">
        <f t="shared" si="15"/>
        <v>60.8</v>
      </c>
    </row>
    <row r="337" spans="3:18" x14ac:dyDescent="0.3">
      <c r="E337" s="7">
        <v>0.54166666666666663</v>
      </c>
      <c r="F337" t="s">
        <v>36</v>
      </c>
      <c r="G337">
        <v>27</v>
      </c>
      <c r="H337">
        <v>58</v>
      </c>
      <c r="I337">
        <v>26</v>
      </c>
      <c r="J337">
        <v>57</v>
      </c>
      <c r="K337">
        <v>28</v>
      </c>
      <c r="L337">
        <v>58</v>
      </c>
      <c r="M337">
        <v>26</v>
      </c>
      <c r="N337">
        <v>59</v>
      </c>
      <c r="O337">
        <v>27</v>
      </c>
      <c r="P337">
        <v>57</v>
      </c>
      <c r="Q337">
        <f t="shared" si="14"/>
        <v>26.8</v>
      </c>
      <c r="R337">
        <f t="shared" si="15"/>
        <v>57.8</v>
      </c>
    </row>
    <row r="338" spans="3:18" x14ac:dyDescent="0.3">
      <c r="E338" s="7">
        <v>0.625</v>
      </c>
      <c r="F338" t="s">
        <v>36</v>
      </c>
      <c r="G338">
        <v>29</v>
      </c>
      <c r="H338">
        <v>55</v>
      </c>
      <c r="I338">
        <v>28</v>
      </c>
      <c r="J338">
        <v>54</v>
      </c>
      <c r="K338">
        <v>27</v>
      </c>
      <c r="L338">
        <v>56</v>
      </c>
      <c r="M338">
        <v>28</v>
      </c>
      <c r="N338">
        <v>55</v>
      </c>
      <c r="O338">
        <v>29</v>
      </c>
      <c r="P338">
        <v>54</v>
      </c>
      <c r="Q338">
        <f t="shared" si="14"/>
        <v>28.2</v>
      </c>
      <c r="R338">
        <f t="shared" si="15"/>
        <v>54.8</v>
      </c>
    </row>
    <row r="339" spans="3:18" x14ac:dyDescent="0.3">
      <c r="C339">
        <v>3</v>
      </c>
      <c r="D339" s="6">
        <v>44951</v>
      </c>
      <c r="E339" s="7">
        <v>0.375</v>
      </c>
      <c r="F339" t="s">
        <v>36</v>
      </c>
      <c r="G339">
        <v>21</v>
      </c>
      <c r="H339">
        <v>63</v>
      </c>
      <c r="I339">
        <v>22</v>
      </c>
      <c r="J339">
        <v>62</v>
      </c>
      <c r="K339">
        <v>23</v>
      </c>
      <c r="L339">
        <v>64</v>
      </c>
      <c r="M339">
        <v>22</v>
      </c>
      <c r="N339">
        <v>63</v>
      </c>
      <c r="O339">
        <v>21</v>
      </c>
      <c r="P339">
        <v>64</v>
      </c>
      <c r="Q339">
        <f t="shared" si="14"/>
        <v>21.8</v>
      </c>
      <c r="R339">
        <f t="shared" si="15"/>
        <v>63.2</v>
      </c>
    </row>
    <row r="340" spans="3:18" x14ac:dyDescent="0.3">
      <c r="E340" s="7">
        <v>0.45833333333333331</v>
      </c>
      <c r="F340" t="s">
        <v>36</v>
      </c>
      <c r="G340">
        <v>24</v>
      </c>
      <c r="H340">
        <v>61</v>
      </c>
      <c r="I340">
        <v>25</v>
      </c>
      <c r="J340">
        <v>60</v>
      </c>
      <c r="K340">
        <v>23</v>
      </c>
      <c r="L340">
        <v>62</v>
      </c>
      <c r="M340">
        <v>24</v>
      </c>
      <c r="N340">
        <v>59</v>
      </c>
      <c r="O340">
        <v>24</v>
      </c>
      <c r="P340">
        <v>61</v>
      </c>
      <c r="Q340">
        <f t="shared" si="14"/>
        <v>24</v>
      </c>
      <c r="R340">
        <f t="shared" si="15"/>
        <v>60.6</v>
      </c>
    </row>
    <row r="341" spans="3:18" x14ac:dyDescent="0.3">
      <c r="E341" s="7">
        <v>0.54166666666666663</v>
      </c>
      <c r="F341" t="s">
        <v>36</v>
      </c>
      <c r="G341">
        <v>26</v>
      </c>
      <c r="H341">
        <v>58</v>
      </c>
      <c r="I341">
        <v>27</v>
      </c>
      <c r="J341">
        <v>57</v>
      </c>
      <c r="K341">
        <v>26</v>
      </c>
      <c r="L341">
        <v>59</v>
      </c>
      <c r="M341">
        <v>27</v>
      </c>
      <c r="N341">
        <v>56</v>
      </c>
      <c r="O341">
        <v>26</v>
      </c>
      <c r="P341">
        <v>57</v>
      </c>
      <c r="Q341">
        <f t="shared" si="14"/>
        <v>26.4</v>
      </c>
      <c r="R341">
        <f t="shared" si="15"/>
        <v>57.4</v>
      </c>
    </row>
    <row r="342" spans="3:18" x14ac:dyDescent="0.3">
      <c r="E342" s="7">
        <v>0.625</v>
      </c>
      <c r="F342" t="s">
        <v>36</v>
      </c>
      <c r="G342">
        <v>28</v>
      </c>
      <c r="H342">
        <v>55</v>
      </c>
      <c r="I342">
        <v>27</v>
      </c>
      <c r="J342">
        <v>56</v>
      </c>
      <c r="K342">
        <v>29</v>
      </c>
      <c r="L342">
        <v>54</v>
      </c>
      <c r="M342">
        <v>28</v>
      </c>
      <c r="N342">
        <v>53</v>
      </c>
      <c r="O342">
        <v>27</v>
      </c>
      <c r="P342">
        <v>55</v>
      </c>
      <c r="Q342">
        <f t="shared" si="14"/>
        <v>27.8</v>
      </c>
      <c r="R342">
        <f t="shared" si="15"/>
        <v>54.6</v>
      </c>
    </row>
    <row r="343" spans="3:18" x14ac:dyDescent="0.3">
      <c r="C343">
        <v>4</v>
      </c>
      <c r="D343" s="6">
        <v>44952</v>
      </c>
      <c r="E343" s="7">
        <v>0.375</v>
      </c>
      <c r="F343" t="s">
        <v>36</v>
      </c>
      <c r="G343">
        <v>23</v>
      </c>
      <c r="H343">
        <v>62</v>
      </c>
      <c r="I343">
        <v>22</v>
      </c>
      <c r="J343">
        <v>63</v>
      </c>
      <c r="K343">
        <v>24</v>
      </c>
      <c r="L343">
        <v>62</v>
      </c>
      <c r="M343">
        <v>23</v>
      </c>
      <c r="N343">
        <v>64</v>
      </c>
      <c r="O343">
        <v>22</v>
      </c>
      <c r="P343">
        <v>63</v>
      </c>
      <c r="Q343">
        <f t="shared" si="14"/>
        <v>22.8</v>
      </c>
      <c r="R343">
        <f t="shared" si="15"/>
        <v>62.8</v>
      </c>
    </row>
    <row r="344" spans="3:18" x14ac:dyDescent="0.3">
      <c r="E344" s="7">
        <v>0.45833333333333331</v>
      </c>
      <c r="F344" t="s">
        <v>36</v>
      </c>
      <c r="G344">
        <v>25</v>
      </c>
      <c r="H344">
        <v>61</v>
      </c>
      <c r="I344">
        <v>24</v>
      </c>
      <c r="J344">
        <v>60</v>
      </c>
      <c r="K344">
        <v>26</v>
      </c>
      <c r="L344">
        <v>60</v>
      </c>
      <c r="M344">
        <v>24</v>
      </c>
      <c r="N344">
        <v>61</v>
      </c>
      <c r="O344">
        <v>25</v>
      </c>
      <c r="P344">
        <v>59</v>
      </c>
      <c r="Q344">
        <f t="shared" si="14"/>
        <v>24.8</v>
      </c>
      <c r="R344">
        <f t="shared" si="15"/>
        <v>60.2</v>
      </c>
    </row>
    <row r="345" spans="3:18" x14ac:dyDescent="0.3">
      <c r="E345" s="7">
        <v>0.54166666666666663</v>
      </c>
      <c r="F345" t="s">
        <v>36</v>
      </c>
      <c r="G345">
        <v>27</v>
      </c>
      <c r="H345">
        <v>58</v>
      </c>
      <c r="I345">
        <v>26</v>
      </c>
      <c r="J345">
        <v>57</v>
      </c>
      <c r="K345">
        <v>25</v>
      </c>
      <c r="L345">
        <v>59</v>
      </c>
      <c r="M345">
        <v>27</v>
      </c>
      <c r="N345">
        <v>58</v>
      </c>
      <c r="O345">
        <v>26</v>
      </c>
      <c r="P345">
        <v>57</v>
      </c>
      <c r="Q345">
        <f t="shared" si="14"/>
        <v>26.2</v>
      </c>
      <c r="R345">
        <f t="shared" si="15"/>
        <v>57.8</v>
      </c>
    </row>
    <row r="346" spans="3:18" x14ac:dyDescent="0.3">
      <c r="E346" s="7">
        <v>0.625</v>
      </c>
      <c r="F346" t="s">
        <v>36</v>
      </c>
      <c r="G346">
        <v>29</v>
      </c>
      <c r="H346">
        <v>56</v>
      </c>
      <c r="I346">
        <v>27</v>
      </c>
      <c r="J346">
        <v>54</v>
      </c>
      <c r="K346">
        <v>28</v>
      </c>
      <c r="L346">
        <v>55</v>
      </c>
      <c r="M346">
        <v>27</v>
      </c>
      <c r="N346">
        <v>56</v>
      </c>
      <c r="O346">
        <v>28</v>
      </c>
      <c r="P346">
        <v>54</v>
      </c>
      <c r="Q346">
        <f t="shared" si="14"/>
        <v>27.8</v>
      </c>
      <c r="R346">
        <f t="shared" si="15"/>
        <v>55</v>
      </c>
    </row>
    <row r="347" spans="3:18" x14ac:dyDescent="0.3">
      <c r="C347">
        <v>5</v>
      </c>
      <c r="D347" s="6">
        <v>44953</v>
      </c>
      <c r="E347" s="7">
        <v>0.375</v>
      </c>
      <c r="F347" t="s">
        <v>36</v>
      </c>
      <c r="G347">
        <v>22</v>
      </c>
      <c r="H347">
        <v>63</v>
      </c>
      <c r="I347">
        <v>21</v>
      </c>
      <c r="J347">
        <v>64</v>
      </c>
      <c r="K347">
        <v>23</v>
      </c>
      <c r="L347">
        <v>63</v>
      </c>
      <c r="M347">
        <v>22</v>
      </c>
      <c r="N347">
        <v>62</v>
      </c>
      <c r="O347">
        <v>23</v>
      </c>
      <c r="P347">
        <v>64</v>
      </c>
      <c r="Q347">
        <f t="shared" si="14"/>
        <v>22.2</v>
      </c>
      <c r="R347">
        <f t="shared" si="15"/>
        <v>63.2</v>
      </c>
    </row>
    <row r="348" spans="3:18" x14ac:dyDescent="0.3">
      <c r="E348" s="7">
        <v>0.45833333333333331</v>
      </c>
      <c r="F348" t="s">
        <v>36</v>
      </c>
      <c r="G348">
        <v>24</v>
      </c>
      <c r="H348">
        <v>60</v>
      </c>
      <c r="I348">
        <v>25</v>
      </c>
      <c r="J348">
        <v>61</v>
      </c>
      <c r="K348">
        <v>24</v>
      </c>
      <c r="L348">
        <v>62</v>
      </c>
      <c r="M348">
        <v>23</v>
      </c>
      <c r="N348">
        <v>60</v>
      </c>
      <c r="O348">
        <v>24</v>
      </c>
      <c r="P348">
        <v>61</v>
      </c>
      <c r="Q348">
        <f t="shared" si="14"/>
        <v>24</v>
      </c>
      <c r="R348">
        <f t="shared" si="15"/>
        <v>60.8</v>
      </c>
    </row>
    <row r="349" spans="3:18" x14ac:dyDescent="0.3">
      <c r="E349" s="7">
        <v>0.54166666666666663</v>
      </c>
      <c r="F349" t="s">
        <v>36</v>
      </c>
      <c r="G349">
        <v>27</v>
      </c>
      <c r="H349">
        <v>58</v>
      </c>
      <c r="I349">
        <v>26</v>
      </c>
      <c r="J349">
        <v>57</v>
      </c>
      <c r="K349">
        <v>25</v>
      </c>
      <c r="L349">
        <v>59</v>
      </c>
      <c r="M349">
        <v>27</v>
      </c>
      <c r="N349">
        <v>58</v>
      </c>
      <c r="O349">
        <v>26</v>
      </c>
      <c r="P349">
        <v>57</v>
      </c>
      <c r="Q349">
        <f t="shared" si="14"/>
        <v>26.2</v>
      </c>
      <c r="R349">
        <f t="shared" si="15"/>
        <v>57.8</v>
      </c>
    </row>
    <row r="350" spans="3:18" x14ac:dyDescent="0.3">
      <c r="E350" s="7">
        <v>0.625</v>
      </c>
      <c r="F350" t="s">
        <v>36</v>
      </c>
      <c r="G350">
        <v>28</v>
      </c>
      <c r="H350">
        <v>55</v>
      </c>
      <c r="I350">
        <v>29</v>
      </c>
      <c r="J350">
        <v>54</v>
      </c>
      <c r="K350">
        <v>27</v>
      </c>
      <c r="L350">
        <v>56</v>
      </c>
      <c r="M350">
        <v>28</v>
      </c>
      <c r="N350">
        <v>55</v>
      </c>
      <c r="O350">
        <v>27</v>
      </c>
      <c r="P350">
        <v>54</v>
      </c>
      <c r="Q350">
        <f t="shared" si="14"/>
        <v>27.8</v>
      </c>
      <c r="R350">
        <f t="shared" si="15"/>
        <v>54.8</v>
      </c>
    </row>
    <row r="351" spans="3:18" x14ac:dyDescent="0.3">
      <c r="C351">
        <v>6</v>
      </c>
      <c r="D351" s="6">
        <v>44954</v>
      </c>
      <c r="E351" s="7">
        <v>0.375</v>
      </c>
      <c r="F351" t="s">
        <v>36</v>
      </c>
      <c r="G351">
        <v>23</v>
      </c>
      <c r="H351">
        <v>62</v>
      </c>
      <c r="I351">
        <v>22</v>
      </c>
      <c r="J351">
        <v>64</v>
      </c>
      <c r="K351">
        <v>21</v>
      </c>
      <c r="L351">
        <v>63</v>
      </c>
      <c r="M351">
        <v>23</v>
      </c>
      <c r="N351">
        <v>62</v>
      </c>
      <c r="O351">
        <v>22</v>
      </c>
      <c r="P351">
        <v>63</v>
      </c>
      <c r="Q351">
        <f t="shared" si="14"/>
        <v>22.2</v>
      </c>
      <c r="R351">
        <f t="shared" si="15"/>
        <v>62.8</v>
      </c>
    </row>
    <row r="352" spans="3:18" x14ac:dyDescent="0.3">
      <c r="E352" s="7">
        <v>0.45833333333333331</v>
      </c>
      <c r="F352" t="s">
        <v>36</v>
      </c>
      <c r="G352">
        <v>25</v>
      </c>
      <c r="H352">
        <v>60</v>
      </c>
      <c r="I352">
        <v>24</v>
      </c>
      <c r="J352">
        <v>61</v>
      </c>
      <c r="K352">
        <v>23</v>
      </c>
      <c r="L352">
        <v>60</v>
      </c>
      <c r="M352">
        <v>25</v>
      </c>
      <c r="N352">
        <v>61</v>
      </c>
      <c r="O352">
        <v>24</v>
      </c>
      <c r="P352">
        <v>59</v>
      </c>
      <c r="Q352">
        <f t="shared" si="14"/>
        <v>24.2</v>
      </c>
      <c r="R352">
        <f t="shared" si="15"/>
        <v>60.2</v>
      </c>
    </row>
    <row r="353" spans="3:18" x14ac:dyDescent="0.3">
      <c r="E353" s="7">
        <v>0.54166666666666663</v>
      </c>
      <c r="F353" t="s">
        <v>36</v>
      </c>
      <c r="G353">
        <v>27</v>
      </c>
      <c r="H353">
        <v>56</v>
      </c>
      <c r="I353">
        <v>26</v>
      </c>
      <c r="J353">
        <v>58</v>
      </c>
      <c r="K353">
        <v>27</v>
      </c>
      <c r="L353">
        <v>59</v>
      </c>
      <c r="M353">
        <v>26</v>
      </c>
      <c r="N353">
        <v>58</v>
      </c>
      <c r="O353">
        <v>27</v>
      </c>
      <c r="P353">
        <v>57</v>
      </c>
      <c r="Q353">
        <f t="shared" si="14"/>
        <v>26.6</v>
      </c>
      <c r="R353">
        <f t="shared" si="15"/>
        <v>57.6</v>
      </c>
    </row>
    <row r="354" spans="3:18" x14ac:dyDescent="0.3">
      <c r="E354" s="7">
        <v>0.625</v>
      </c>
      <c r="F354" t="s">
        <v>36</v>
      </c>
      <c r="G354">
        <v>28</v>
      </c>
      <c r="H354">
        <v>53</v>
      </c>
      <c r="I354">
        <v>27</v>
      </c>
      <c r="J354">
        <v>56</v>
      </c>
      <c r="K354">
        <v>29</v>
      </c>
      <c r="L354">
        <v>54</v>
      </c>
      <c r="M354">
        <v>27</v>
      </c>
      <c r="N354">
        <v>55</v>
      </c>
      <c r="O354">
        <v>28</v>
      </c>
      <c r="P354">
        <v>54</v>
      </c>
      <c r="Q354">
        <f t="shared" si="14"/>
        <v>27.8</v>
      </c>
      <c r="R354">
        <f t="shared" si="15"/>
        <v>54.4</v>
      </c>
    </row>
    <row r="355" spans="3:18" x14ac:dyDescent="0.3">
      <c r="C355">
        <v>7</v>
      </c>
      <c r="D355" s="6">
        <v>44955</v>
      </c>
      <c r="E355" s="7">
        <v>0.375</v>
      </c>
      <c r="F355" t="s">
        <v>36</v>
      </c>
      <c r="G355">
        <v>22</v>
      </c>
      <c r="H355">
        <v>62</v>
      </c>
      <c r="I355">
        <v>23</v>
      </c>
      <c r="J355">
        <v>63</v>
      </c>
      <c r="K355">
        <v>22</v>
      </c>
      <c r="L355">
        <v>64</v>
      </c>
      <c r="M355">
        <v>21</v>
      </c>
      <c r="N355">
        <v>63</v>
      </c>
      <c r="O355">
        <v>23</v>
      </c>
      <c r="P355">
        <v>62</v>
      </c>
      <c r="Q355">
        <f t="shared" si="14"/>
        <v>22.2</v>
      </c>
      <c r="R355">
        <f t="shared" si="15"/>
        <v>62.8</v>
      </c>
    </row>
    <row r="356" spans="3:18" x14ac:dyDescent="0.3">
      <c r="E356" s="7">
        <v>0.45833333333333331</v>
      </c>
      <c r="F356" t="s">
        <v>36</v>
      </c>
      <c r="G356">
        <v>25</v>
      </c>
      <c r="H356">
        <v>59</v>
      </c>
      <c r="I356">
        <v>24</v>
      </c>
      <c r="J356">
        <v>61</v>
      </c>
      <c r="K356">
        <v>25</v>
      </c>
      <c r="L356">
        <v>60</v>
      </c>
      <c r="M356">
        <v>23</v>
      </c>
      <c r="N356">
        <v>61</v>
      </c>
      <c r="O356">
        <v>24</v>
      </c>
      <c r="P356">
        <v>60</v>
      </c>
      <c r="Q356">
        <f t="shared" si="14"/>
        <v>24.2</v>
      </c>
      <c r="R356">
        <f t="shared" si="15"/>
        <v>60.2</v>
      </c>
    </row>
    <row r="357" spans="3:18" x14ac:dyDescent="0.3">
      <c r="E357" s="7">
        <v>0.54166666666666663</v>
      </c>
      <c r="F357" t="s">
        <v>36</v>
      </c>
      <c r="G357">
        <v>27</v>
      </c>
      <c r="H357">
        <v>57</v>
      </c>
      <c r="I357">
        <v>26</v>
      </c>
      <c r="J357">
        <v>58</v>
      </c>
      <c r="K357">
        <v>25</v>
      </c>
      <c r="L357">
        <v>57</v>
      </c>
      <c r="M357">
        <v>26</v>
      </c>
      <c r="N357">
        <v>58</v>
      </c>
      <c r="O357">
        <v>27</v>
      </c>
      <c r="P357">
        <v>56</v>
      </c>
      <c r="Q357">
        <f t="shared" si="14"/>
        <v>26.2</v>
      </c>
      <c r="R357">
        <f t="shared" si="15"/>
        <v>57.2</v>
      </c>
    </row>
    <row r="358" spans="3:18" x14ac:dyDescent="0.3">
      <c r="E358" s="7">
        <v>0.625</v>
      </c>
      <c r="F358" t="s">
        <v>36</v>
      </c>
      <c r="G358">
        <v>29</v>
      </c>
      <c r="H358">
        <v>54</v>
      </c>
      <c r="I358">
        <v>28</v>
      </c>
      <c r="J358">
        <v>55</v>
      </c>
      <c r="K358">
        <v>27</v>
      </c>
      <c r="L358">
        <v>54</v>
      </c>
      <c r="M358">
        <v>28</v>
      </c>
      <c r="N358">
        <v>53</v>
      </c>
      <c r="O358">
        <v>27</v>
      </c>
      <c r="P358">
        <v>54</v>
      </c>
      <c r="Q358">
        <f t="shared" si="14"/>
        <v>27.8</v>
      </c>
      <c r="R358">
        <f t="shared" si="15"/>
        <v>54</v>
      </c>
    </row>
    <row r="360" spans="3:18" x14ac:dyDescent="0.3">
      <c r="C360" t="s">
        <v>10</v>
      </c>
      <c r="Q360">
        <f>AVERAGE(Q331:Q358)</f>
        <v>25.121428571428577</v>
      </c>
      <c r="R360">
        <f>AVERAGE(R331:R358)</f>
        <v>58.921428571428571</v>
      </c>
    </row>
    <row r="361" spans="3:18" x14ac:dyDescent="0.3">
      <c r="C361" t="s">
        <v>11</v>
      </c>
      <c r="G361">
        <f>MIN(G331:G358)</f>
        <v>21</v>
      </c>
      <c r="H361">
        <f t="shared" ref="H361:P361" si="16">MIN(H331:H358)</f>
        <v>53</v>
      </c>
      <c r="I361">
        <f t="shared" si="16"/>
        <v>21</v>
      </c>
      <c r="J361">
        <f t="shared" si="16"/>
        <v>54</v>
      </c>
      <c r="K361">
        <f t="shared" si="16"/>
        <v>21</v>
      </c>
      <c r="L361">
        <f t="shared" si="16"/>
        <v>54</v>
      </c>
      <c r="M361">
        <f t="shared" si="16"/>
        <v>21</v>
      </c>
      <c r="N361">
        <f t="shared" si="16"/>
        <v>53</v>
      </c>
      <c r="O361">
        <f t="shared" si="16"/>
        <v>21</v>
      </c>
      <c r="P361">
        <f t="shared" si="16"/>
        <v>53</v>
      </c>
    </row>
    <row r="362" spans="3:18" x14ac:dyDescent="0.3">
      <c r="C362" t="s">
        <v>12</v>
      </c>
      <c r="G362">
        <f>MAX(G331:G358)</f>
        <v>29</v>
      </c>
      <c r="H362">
        <f t="shared" ref="H362:P362" si="17">MAX(H331:H358)</f>
        <v>63</v>
      </c>
      <c r="I362">
        <f t="shared" si="17"/>
        <v>29</v>
      </c>
      <c r="J362">
        <f t="shared" si="17"/>
        <v>64</v>
      </c>
      <c r="K362">
        <f t="shared" si="17"/>
        <v>29</v>
      </c>
      <c r="L362">
        <f t="shared" si="17"/>
        <v>64</v>
      </c>
      <c r="M362">
        <f t="shared" si="17"/>
        <v>28</v>
      </c>
      <c r="N362">
        <f t="shared" si="17"/>
        <v>64</v>
      </c>
      <c r="O362">
        <f t="shared" si="17"/>
        <v>29</v>
      </c>
      <c r="P362">
        <f t="shared" si="17"/>
        <v>64</v>
      </c>
    </row>
  </sheetData>
  <mergeCells count="142">
    <mergeCell ref="C283:Q283"/>
    <mergeCell ref="C284:F284"/>
    <mergeCell ref="P284:Q284"/>
    <mergeCell ref="C285:F285"/>
    <mergeCell ref="P285:Q285"/>
    <mergeCell ref="C279:C282"/>
    <mergeCell ref="D279:D282"/>
    <mergeCell ref="P279:Q279"/>
    <mergeCell ref="P280:Q280"/>
    <mergeCell ref="P281:Q281"/>
    <mergeCell ref="P282:Q282"/>
    <mergeCell ref="C275:C278"/>
    <mergeCell ref="D275:D278"/>
    <mergeCell ref="P275:Q275"/>
    <mergeCell ref="P276:Q276"/>
    <mergeCell ref="P277:Q277"/>
    <mergeCell ref="P278:Q278"/>
    <mergeCell ref="C271:C274"/>
    <mergeCell ref="D271:D274"/>
    <mergeCell ref="P271:Q271"/>
    <mergeCell ref="P272:Q272"/>
    <mergeCell ref="P273:Q273"/>
    <mergeCell ref="P274:Q274"/>
    <mergeCell ref="C267:C270"/>
    <mergeCell ref="D267:D270"/>
    <mergeCell ref="P267:Q267"/>
    <mergeCell ref="P268:Q268"/>
    <mergeCell ref="P269:Q269"/>
    <mergeCell ref="P270:Q270"/>
    <mergeCell ref="C263:C266"/>
    <mergeCell ref="D263:D266"/>
    <mergeCell ref="P263:Q263"/>
    <mergeCell ref="P264:Q264"/>
    <mergeCell ref="P265:Q265"/>
    <mergeCell ref="P266:Q266"/>
    <mergeCell ref="C259:C262"/>
    <mergeCell ref="D259:D262"/>
    <mergeCell ref="P259:Q259"/>
    <mergeCell ref="P260:Q260"/>
    <mergeCell ref="P261:Q261"/>
    <mergeCell ref="P262:Q262"/>
    <mergeCell ref="P254:Q254"/>
    <mergeCell ref="C255:C258"/>
    <mergeCell ref="D255:D258"/>
    <mergeCell ref="P255:Q255"/>
    <mergeCell ref="P256:Q256"/>
    <mergeCell ref="P257:Q257"/>
    <mergeCell ref="P258:Q258"/>
    <mergeCell ref="G253:H253"/>
    <mergeCell ref="I253:J253"/>
    <mergeCell ref="K253:L253"/>
    <mergeCell ref="M253:N253"/>
    <mergeCell ref="O253:Q253"/>
    <mergeCell ref="R253:S253"/>
    <mergeCell ref="C206:Q206"/>
    <mergeCell ref="C207:F207"/>
    <mergeCell ref="P207:Q207"/>
    <mergeCell ref="C208:F208"/>
    <mergeCell ref="P208:Q208"/>
    <mergeCell ref="C252:C254"/>
    <mergeCell ref="D252:D254"/>
    <mergeCell ref="E252:E254"/>
    <mergeCell ref="G252:P252"/>
    <mergeCell ref="Q252:S252"/>
    <mergeCell ref="C202:C205"/>
    <mergeCell ref="D202:D205"/>
    <mergeCell ref="P202:Q202"/>
    <mergeCell ref="P203:Q203"/>
    <mergeCell ref="P204:Q204"/>
    <mergeCell ref="P205:Q205"/>
    <mergeCell ref="C198:C201"/>
    <mergeCell ref="D198:D201"/>
    <mergeCell ref="P198:Q198"/>
    <mergeCell ref="P199:Q199"/>
    <mergeCell ref="P200:Q200"/>
    <mergeCell ref="P201:Q201"/>
    <mergeCell ref="C194:C197"/>
    <mergeCell ref="D194:D197"/>
    <mergeCell ref="P194:Q194"/>
    <mergeCell ref="P195:Q195"/>
    <mergeCell ref="P196:Q196"/>
    <mergeCell ref="P197:Q197"/>
    <mergeCell ref="C190:C193"/>
    <mergeCell ref="D190:D193"/>
    <mergeCell ref="P190:Q190"/>
    <mergeCell ref="P191:Q191"/>
    <mergeCell ref="P192:Q192"/>
    <mergeCell ref="P193:Q193"/>
    <mergeCell ref="C186:C189"/>
    <mergeCell ref="D186:D189"/>
    <mergeCell ref="P186:Q186"/>
    <mergeCell ref="P187:Q187"/>
    <mergeCell ref="P188:Q188"/>
    <mergeCell ref="P189:Q189"/>
    <mergeCell ref="C182:C185"/>
    <mergeCell ref="D182:D185"/>
    <mergeCell ref="P182:Q182"/>
    <mergeCell ref="P183:Q183"/>
    <mergeCell ref="P184:Q184"/>
    <mergeCell ref="P185:Q185"/>
    <mergeCell ref="C178:C181"/>
    <mergeCell ref="D178:D181"/>
    <mergeCell ref="P178:Q178"/>
    <mergeCell ref="P179:Q179"/>
    <mergeCell ref="P180:Q180"/>
    <mergeCell ref="P181:Q181"/>
    <mergeCell ref="Q175:S175"/>
    <mergeCell ref="G176:H176"/>
    <mergeCell ref="I176:J176"/>
    <mergeCell ref="K176:L176"/>
    <mergeCell ref="M176:N176"/>
    <mergeCell ref="O176:Q176"/>
    <mergeCell ref="R176:S176"/>
    <mergeCell ref="B21:B24"/>
    <mergeCell ref="C21:C24"/>
    <mergeCell ref="C175:C177"/>
    <mergeCell ref="D175:D177"/>
    <mergeCell ref="E175:E177"/>
    <mergeCell ref="G175:P175"/>
    <mergeCell ref="P177:Q177"/>
    <mergeCell ref="B9:B12"/>
    <mergeCell ref="C9:C12"/>
    <mergeCell ref="B13:B16"/>
    <mergeCell ref="C13:C16"/>
    <mergeCell ref="B17:B20"/>
    <mergeCell ref="C17:C20"/>
    <mergeCell ref="P3:Q3"/>
    <mergeCell ref="R3:S3"/>
    <mergeCell ref="T3:U3"/>
    <mergeCell ref="V3:W3"/>
    <mergeCell ref="B5:B8"/>
    <mergeCell ref="C5:C8"/>
    <mergeCell ref="B2:B4"/>
    <mergeCell ref="C2:C4"/>
    <mergeCell ref="D2:D4"/>
    <mergeCell ref="F2:U2"/>
    <mergeCell ref="V2:W2"/>
    <mergeCell ref="F3:G3"/>
    <mergeCell ref="H3:I3"/>
    <mergeCell ref="J3:K3"/>
    <mergeCell ref="L3:M3"/>
    <mergeCell ref="N3:O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AYUBA MUSTAPHA</dc:creator>
  <cp:lastModifiedBy>AYUBA MUSTAPHA</cp:lastModifiedBy>
  <dcterms:created xsi:type="dcterms:W3CDTF">2026-03-06T14:40:58Z</dcterms:created>
  <dcterms:modified xsi:type="dcterms:W3CDTF">2026-03-07T13:31:55Z</dcterms:modified>
</cp:coreProperties>
</file>